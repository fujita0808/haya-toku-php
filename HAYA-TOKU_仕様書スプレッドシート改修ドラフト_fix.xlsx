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い方" sheetId="1" state="visible" r:id="rId1"/>
    <sheet xmlns:r="http://schemas.openxmlformats.org/officeDocument/2006/relationships" name="01_仕様変更一覧" sheetId="2" state="visible" r:id="rId2"/>
    <sheet xmlns:r="http://schemas.openxmlformats.org/officeDocument/2006/relationships" name="02_API_用語定義" sheetId="3" state="visible" r:id="rId3"/>
    <sheet xmlns:r="http://schemas.openxmlformats.org/officeDocument/2006/relationships" name="03_DB_フロント" sheetId="4" state="visible" r:id="rId4"/>
    <sheet xmlns:r="http://schemas.openxmlformats.org/officeDocument/2006/relationships" name="04_粗利益モデル" sheetId="5" state="visible" r:id="rId5"/>
    <sheet xmlns:r="http://schemas.openxmlformats.org/officeDocument/2006/relationships" name="05_日別レート生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¥#,##0.00"/>
    <numFmt numFmtId="166" formatCode="¥#,##0"/>
    <numFmt numFmtId="167" formatCode="#,##0.0"/>
    <numFmt numFmtId="168" formatCode="yyyy-mm-dd h:mm:ss"/>
    <numFmt numFmtId="169" formatCode="yyyy-mm-dd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b val="1"/>
    </font>
    <font>
      <color rgb="000000FF"/>
    </font>
    <font>
      <color rgb="00000000"/>
    </font>
    <font>
      <color rgb="00666666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D9EDEB"/>
      </patternFill>
    </fill>
    <fill>
      <patternFill patternType="solid">
        <fgColor rgb="00FDE9E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AF2FF"/>
      </patternFill>
    </fill>
  </fills>
  <borders count="3">
    <border>
      <left/>
      <right/>
      <top/>
      <bottom/>
      <diagonal/>
    </border>
    <border>
      <bottom style="thin">
        <color rgb="00B7B7B7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pivotButton="0" quotePrefix="0" xfId="0"/>
    <xf numFmtId="0" fontId="0" fillId="0" borderId="2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164" fontId="4" fillId="9" borderId="2" pivotButton="0" quotePrefix="0" xfId="0"/>
    <xf numFmtId="165" fontId="5" fillId="5" borderId="2" pivotButton="0" quotePrefix="0" xfId="0"/>
    <xf numFmtId="2" fontId="4" fillId="9" borderId="2" pivotButton="0" quotePrefix="0" xfId="0"/>
    <xf numFmtId="164" fontId="5" fillId="5" borderId="2" pivotButton="0" quotePrefix="0" xfId="0"/>
    <xf numFmtId="166" fontId="4" fillId="9" borderId="2" pivotButton="0" quotePrefix="0" xfId="0"/>
    <xf numFmtId="167" fontId="5" fillId="5" borderId="2" pivotButton="0" quotePrefix="0" xfId="0"/>
    <xf numFmtId="3" fontId="4" fillId="9" borderId="2" pivotButton="0" quotePrefix="0" xfId="0"/>
    <xf numFmtId="164" fontId="5" fillId="0" borderId="2" pivotButton="0" quotePrefix="0" xfId="0"/>
    <xf numFmtId="167" fontId="5" fillId="0" borderId="2" pivotButton="0" quotePrefix="0" xfId="0"/>
    <xf numFmtId="166" fontId="5" fillId="0" borderId="2" pivotButton="0" quotePrefix="0" xfId="0"/>
    <xf numFmtId="169" fontId="4" fillId="9" borderId="2" pivotButton="0" quotePrefix="0" xfId="0"/>
    <xf numFmtId="0" fontId="6" fillId="4" borderId="2" pivotButton="0" quotePrefix="0" xfId="0"/>
    <xf numFmtId="0" fontId="5" fillId="0" borderId="2" pivotButton="0" quotePrefix="0" xfId="0"/>
    <xf numFmtId="0" fontId="6" fillId="4" borderId="2" applyAlignment="1" pivotButton="0" quotePrefix="0" xfId="0">
      <alignment wrapText="1"/>
    </xf>
    <xf numFmtId="1" fontId="5" fillId="0" borderId="2" pivotButton="0" quotePrefix="0" xfId="0"/>
    <xf numFmtId="169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 ht="24" customHeight="1">
      <c r="A1" s="1" t="inlineStr">
        <is>
          <t>HAYA-TOKU 仕様書スプレッドシート 改修ドラフト</t>
        </is>
      </c>
    </row>
    <row r="2" ht="22" customHeight="1"/>
    <row r="3" ht="22" customHeight="1">
      <c r="A3" s="2" t="inlineStr">
        <is>
          <t>項目</t>
        </is>
      </c>
      <c r="B3" s="2" t="inlineStr">
        <is>
          <t>内容</t>
        </is>
      </c>
    </row>
    <row r="4" ht="42" customHeight="1">
      <c r="A4" s="3" t="inlineStr">
        <is>
          <t>目的</t>
        </is>
      </c>
      <c r="B4" s="4" t="inlineStr">
        <is>
          <t>既存スプレッドシート改修のたたき台。README.md / PHP / API / DB / フロントの整合元として使う。</t>
        </is>
      </c>
    </row>
    <row r="5" ht="42" customHeight="1">
      <c r="A5" s="3" t="inlineStr">
        <is>
          <t>使い方</t>
        </is>
      </c>
      <c r="B5" s="4" t="inlineStr">
        <is>
          <t>まず 01〜03 で業務仕様を確定し、次に 04 で coupon_model.php / max_coupon_rate.md の数理を確認し、最後に 05 で日別レート生成案を管理画面仕様へ落とし込む。</t>
        </is>
      </c>
    </row>
    <row r="6" ht="42" customHeight="1">
      <c r="A6" s="3" t="inlineStr">
        <is>
          <t>最重要確定</t>
        </is>
      </c>
      <c r="B6" s="4" t="inlineStr">
        <is>
          <t>公開終了後の未使用クーポンは使用不可。decay_interval_minutes は全面廃止。割引率は日付単位で変動。</t>
        </is>
      </c>
    </row>
    <row r="7" ht="42" customHeight="1">
      <c r="A7" s="3" t="inlineStr">
        <is>
          <t>重要補足</t>
        </is>
      </c>
      <c r="B7" s="4" t="inlineStr">
        <is>
          <t>issued_discount_rate は『取得時点の基準割引率の記録値』、current_discount_rate は『当日表示用の現在割引率』、used_discount_rate は『使用時点の確定割引率』。</t>
        </is>
      </c>
    </row>
    <row r="8" ht="42" customHeight="1">
      <c r="A8" s="3" t="inlineStr">
        <is>
          <t>自動生成方針</t>
        </is>
      </c>
      <c r="B8" s="4" t="inlineStr">
        <is>
          <t>coupon_model.php と max_coupon_rate.md を原本として、最大粗利益帯を基準に日別割引率を自動生成し、その後に管理ユーザーが回収・微修正できるようにする。</t>
        </is>
      </c>
    </row>
    <row r="9" ht="22" customHeight="1"/>
    <row r="10" ht="22" customHeight="1"/>
    <row r="11" ht="22" customHeight="1">
      <c r="A11" s="5" t="inlineStr">
        <is>
          <t>参照元</t>
        </is>
      </c>
      <c r="B11" s="5" t="inlineStr">
        <is>
          <t>貼り付けられたテキスト（1 点）.txt / coupon_model.php / max_coupone_rate.md</t>
        </is>
      </c>
    </row>
    <row r="12" ht="34" customHeight="1">
      <c r="A12" s="6" t="n"/>
      <c r="B12" s="7" t="inlineStr">
        <is>
          <t>このドラフトは上記3ファイルをもとに再整理したもの。実装前に実スプレッドシートへ転記・統合する。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22" customWidth="1" min="4" max="4"/>
    <col width="10" customWidth="1" min="5" max="5"/>
    <col width="28" customWidth="1" min="6" max="6"/>
  </cols>
  <sheetData>
    <row r="1" ht="24" customHeight="1">
      <c r="A1" s="1" t="inlineStr">
        <is>
          <t>仕様変更一覧（旧→新）</t>
        </is>
      </c>
    </row>
    <row r="2" ht="22" customHeight="1"/>
    <row r="3" ht="22" customHeight="1">
      <c r="A3" s="2" t="inlineStr">
        <is>
          <t>論点</t>
        </is>
      </c>
      <c r="B3" s="2" t="inlineStr">
        <is>
          <t>旧仕様/旧認識</t>
        </is>
      </c>
      <c r="C3" s="2" t="inlineStr">
        <is>
          <t>新仕様（確定）</t>
        </is>
      </c>
      <c r="D3" s="2" t="inlineStr">
        <is>
          <t>影響範囲</t>
        </is>
      </c>
      <c r="E3" s="2" t="inlineStr">
        <is>
          <t>対応優先度</t>
        </is>
      </c>
      <c r="F3" s="2" t="inlineStr">
        <is>
          <t>補足</t>
        </is>
      </c>
    </row>
    <row r="4" ht="40" customHeight="1">
      <c r="A4" s="4" t="inlineStr">
        <is>
          <t>割引率の決まり方</t>
        </is>
      </c>
      <c r="B4" s="4" t="inlineStr">
        <is>
          <t>発行時固定 / 取得時点で確定</t>
        </is>
      </c>
      <c r="C4" s="4" t="inlineStr">
        <is>
          <t>日付ごとに変動。未使用中は下がりうる。適用は使用時点。</t>
        </is>
      </c>
      <c r="D4" s="4" t="inlineStr">
        <is>
          <t>API, DB, README, フロント</t>
        </is>
      </c>
      <c r="E4" s="8" t="inlineStr">
        <is>
          <t>最優先</t>
        </is>
      </c>
      <c r="F4" s="4" t="inlineStr">
        <is>
          <t>上司回答の Yes/No と一致させる</t>
        </is>
      </c>
    </row>
    <row r="5" ht="40" customHeight="1">
      <c r="A5" s="4" t="inlineStr">
        <is>
          <t>公開終了後の扱い</t>
        </is>
      </c>
      <c r="B5" s="4" t="inlineStr">
        <is>
          <t>未確定</t>
        </is>
      </c>
      <c r="C5" s="4" t="inlineStr">
        <is>
          <t>未使用クーポンも使用不可</t>
        </is>
      </c>
      <c r="D5" s="4" t="inlineStr">
        <is>
          <t>coupon_use.php, フロント導線</t>
        </is>
      </c>
      <c r="E5" s="8" t="inlineStr">
        <is>
          <t>最優先</t>
        </is>
      </c>
      <c r="F5" s="4" t="inlineStr">
        <is>
          <t>公開期間外は業務エラー</t>
        </is>
      </c>
    </row>
    <row r="6" ht="40" customHeight="1">
      <c r="A6" s="4" t="inlineStr">
        <is>
          <t>decay_interval_minutes</t>
        </is>
      </c>
      <c r="B6" s="4" t="inlineStr">
        <is>
          <t>過去実装/旧設計に残存</t>
        </is>
      </c>
      <c r="C6" s="4" t="inlineStr">
        <is>
          <t>全面廃止</t>
        </is>
      </c>
      <c r="D6" s="4" t="inlineStr">
        <is>
          <t>schema.sql, init_db.php, 管理画面, README</t>
        </is>
      </c>
      <c r="E6" s="8" t="inlineStr">
        <is>
          <t>最優先</t>
        </is>
      </c>
      <c r="F6" s="4" t="inlineStr">
        <is>
          <t>痕跡も削除</t>
        </is>
      </c>
    </row>
    <row r="7" ht="40" customHeight="1">
      <c r="A7" s="4" t="inlineStr">
        <is>
          <t>issued_discount_rate</t>
        </is>
      </c>
      <c r="B7" s="4" t="inlineStr">
        <is>
          <t>主役・確定値として扱う記述が混在</t>
        </is>
      </c>
      <c r="C7" s="4" t="inlineStr">
        <is>
          <t>取得時点の基準割引率の記録値。比較/履歴用。最終適用値ではない</t>
        </is>
      </c>
      <c r="D7" s="4" t="inlineStr">
        <is>
          <t>coupons, coupon_issue/get, README</t>
        </is>
      </c>
      <c r="E7" s="9" t="inlineStr">
        <is>
          <t>高</t>
        </is>
      </c>
      <c r="F7" s="4" t="inlineStr">
        <is>
          <t>名称は残すが意味を再定義</t>
        </is>
      </c>
    </row>
    <row r="8" ht="40" customHeight="1">
      <c r="A8" s="4" t="inlineStr">
        <is>
          <t>current_discount_rate</t>
        </is>
      </c>
      <c r="B8" s="4" t="inlineStr">
        <is>
          <t>曖昧または未整理</t>
        </is>
      </c>
      <c r="C8" s="4" t="inlineStr">
        <is>
          <t>当日の表示用現在割引率。日別確定レートから取得</t>
        </is>
      </c>
      <c r="D8" s="4" t="inlineStr">
        <is>
          <t>coupon_current/get, フロント</t>
        </is>
      </c>
      <c r="E8" s="9" t="inlineStr">
        <is>
          <t>高</t>
        </is>
      </c>
      <c r="F8" s="4" t="inlineStr">
        <is>
          <t>保存値ではなく日付参照値</t>
        </is>
      </c>
    </row>
    <row r="9" ht="40" customHeight="1">
      <c r="A9" s="4" t="inlineStr">
        <is>
          <t>used_discount_rate</t>
        </is>
      </c>
      <c r="B9" s="4" t="inlineStr">
        <is>
          <t>issued と同一前提が混在</t>
        </is>
      </c>
      <c r="C9" s="4" t="inlineStr">
        <is>
          <t>使用時点の確定適用割引率</t>
        </is>
      </c>
      <c r="D9" s="4" t="inlineStr">
        <is>
          <t>coupon_use/get, usage_logs, 会計</t>
        </is>
      </c>
      <c r="E9" s="9" t="inlineStr">
        <is>
          <t>高</t>
        </is>
      </c>
      <c r="F9" s="4" t="inlineStr">
        <is>
          <t>監査・履歴・表示用</t>
        </is>
      </c>
    </row>
    <row r="10" ht="40" customHeight="1">
      <c r="A10" s="4" t="inlineStr">
        <is>
          <t>割引率生成方法</t>
        </is>
      </c>
      <c r="B10" s="4" t="inlineStr">
        <is>
          <t>初期率/最低率の直線減衰中心</t>
        </is>
      </c>
      <c r="C10" s="4" t="inlineStr">
        <is>
          <t>coupon_model.php / max_coupon_rate.md の最大粗利益モデルを自動生成原本に採用</t>
        </is>
      </c>
      <c r="D10" s="4" t="inlineStr">
        <is>
          <t>管理画面, README, 仕様書</t>
        </is>
      </c>
      <c r="E10" s="8" t="inlineStr">
        <is>
          <t>最優先</t>
        </is>
      </c>
      <c r="F10" s="4" t="inlineStr">
        <is>
          <t>管理ユーザーが後編集可能</t>
        </is>
      </c>
    </row>
    <row r="11" ht="40" customHeight="1">
      <c r="A11" s="4" t="inlineStr">
        <is>
          <t>フロント導線</t>
        </is>
      </c>
      <c r="B11" s="4" t="inlineStr">
        <is>
          <t>単画面寄り</t>
        </is>
      </c>
      <c r="C11" s="4" t="inlineStr">
        <is>
          <t>規約同意→アンケート→複数クーポン選択→詳細→確認→完了</t>
        </is>
      </c>
      <c r="D11" s="4" t="inlineStr">
        <is>
          <t>UI, DB, API</t>
        </is>
      </c>
      <c r="E11" s="9" t="inlineStr">
        <is>
          <t>高</t>
        </is>
      </c>
      <c r="F11" s="4" t="inlineStr">
        <is>
          <t>the-coupon.jp sample app01 を参照イメージにする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34" customWidth="1" min="3" max="3"/>
    <col width="32" customWidth="1" min="4" max="4"/>
    <col width="16" customWidth="1" min="5" max="5"/>
  </cols>
  <sheetData>
    <row r="1" ht="24" customHeight="1">
      <c r="A1" s="1" t="inlineStr">
        <is>
          <t>API仕様と用語定義</t>
        </is>
      </c>
    </row>
    <row r="2" ht="22" customHeight="1"/>
    <row r="3" ht="22" customHeight="1">
      <c r="A3" s="2" t="inlineStr">
        <is>
          <t>用語</t>
        </is>
      </c>
      <c r="B3" s="2" t="inlineStr">
        <is>
          <t>定義</t>
        </is>
      </c>
      <c r="C3" s="2" t="inlineStr">
        <is>
          <t>保存場所</t>
        </is>
      </c>
      <c r="D3" s="2" t="inlineStr">
        <is>
          <t>APIでの主な出し先</t>
        </is>
      </c>
    </row>
    <row r="4" ht="42" customHeight="1">
      <c r="A4" s="4" t="inlineStr">
        <is>
          <t>issued_discount_rate</t>
        </is>
      </c>
      <c r="B4" s="4" t="inlineStr">
        <is>
          <t>クーポン取得時点の基準割引率の記録値。比較・履歴用。最終適用率ではない。</t>
        </is>
      </c>
      <c r="C4" s="4" t="inlineStr">
        <is>
          <t>coupons</t>
        </is>
      </c>
      <c r="D4" s="4" t="inlineStr">
        <is>
          <t>coupon_issue.php / coupon_get.php（未使用時の参考表示）</t>
        </is>
      </c>
    </row>
    <row r="5" ht="42" customHeight="1">
      <c r="A5" s="4" t="inlineStr">
        <is>
          <t>current_discount_rate</t>
        </is>
      </c>
      <c r="B5" s="4" t="inlineStr">
        <is>
          <t>当日の日別確定割引率。未使用クーポンの現在表示値。</t>
        </is>
      </c>
      <c r="C5" s="4" t="inlineStr">
        <is>
          <t>保存しない or daily_rates参照</t>
        </is>
      </c>
      <c r="D5" s="4" t="inlineStr">
        <is>
          <t>coupon_current.php / coupon_get.php</t>
        </is>
      </c>
    </row>
    <row r="6" ht="42" customHeight="1">
      <c r="A6" s="4" t="inlineStr">
        <is>
          <t>used_discount_rate</t>
        </is>
      </c>
      <c r="B6" s="4" t="inlineStr">
        <is>
          <t>クーポン使用時点で実際に確定した割引率。</t>
        </is>
      </c>
      <c r="C6" s="4" t="inlineStr">
        <is>
          <t>coupons, usage_logs</t>
        </is>
      </c>
      <c r="D6" s="4" t="inlineStr">
        <is>
          <t>coupon_use.php / coupon_get.php（使用済時）</t>
        </is>
      </c>
    </row>
    <row r="7" ht="22" customHeight="1"/>
    <row r="8" ht="22" customHeight="1"/>
    <row r="9" ht="22" customHeight="1">
      <c r="A9" s="2" t="inlineStr">
        <is>
          <t>API</t>
        </is>
      </c>
      <c r="B9" s="2" t="inlineStr">
        <is>
          <t>役割</t>
        </is>
      </c>
      <c r="C9" s="2" t="inlineStr">
        <is>
          <t>返す/保存する主値</t>
        </is>
      </c>
      <c r="D9" s="2" t="inlineStr">
        <is>
          <t>禁止/注意</t>
        </is>
      </c>
      <c r="E9" s="2" t="inlineStr">
        <is>
          <t>HTTP</t>
        </is>
      </c>
    </row>
    <row r="10" ht="42" customHeight="1">
      <c r="A10" s="4" t="inlineStr">
        <is>
          <t>GET /api/coupon_current.php</t>
        </is>
      </c>
      <c r="B10" s="4" t="inlineStr">
        <is>
          <t>今この時点で新規取得したら何%かを返す</t>
        </is>
      </c>
      <c r="C10" s="4" t="inlineStr">
        <is>
          <t>current_discount_rate / is_issuable / timeline</t>
        </is>
      </c>
      <c r="D10" s="4" t="inlineStr">
        <is>
          <t>『この割引率で確定』文言は禁止</t>
        </is>
      </c>
      <c r="E10" s="4" t="inlineStr">
        <is>
          <t>200 / 404</t>
        </is>
      </c>
    </row>
    <row r="11" ht="42" customHeight="1">
      <c r="A11" s="4" t="inlineStr">
        <is>
          <t>POST /api/coupon_issue.php</t>
        </is>
      </c>
      <c r="B11" s="4" t="inlineStr">
        <is>
          <t>クーポンコード発行 + issued_discount_rate記録</t>
        </is>
      </c>
      <c r="C11" s="4" t="inlineStr">
        <is>
          <t>coupon_code / issued_discount_rate / current_discount_rate(参考値)</t>
        </is>
      </c>
      <c r="D11" s="4" t="inlineStr">
        <is>
          <t>発行=最終適用ではない</t>
        </is>
      </c>
      <c r="E11" s="4" t="inlineStr">
        <is>
          <t>200 / 400 / 404</t>
        </is>
      </c>
    </row>
    <row r="12" ht="42" customHeight="1">
      <c r="A12" s="4" t="inlineStr">
        <is>
          <t>GET /api/coupon_get.php</t>
        </is>
      </c>
      <c r="B12" s="4" t="inlineStr">
        <is>
          <t>発行済みクーポンの現在状態を返す</t>
        </is>
      </c>
      <c r="C12" s="4" t="inlineStr">
        <is>
          <t>未使用: issued + current / 使用済: used</t>
        </is>
      </c>
      <c r="D12" s="4" t="inlineStr">
        <is>
          <t>未使用時に固定値扱いしない</t>
        </is>
      </c>
      <c r="E12" s="4" t="inlineStr">
        <is>
          <t>200 / 404</t>
        </is>
      </c>
    </row>
    <row r="13" ht="42" customHeight="1">
      <c r="A13" s="4" t="inlineStr">
        <is>
          <t>POST /api/coupon_use.php</t>
        </is>
      </c>
      <c r="B13" s="4" t="inlineStr">
        <is>
          <t>使用処理。使用時点割引率を確定</t>
        </is>
      </c>
      <c r="C13" s="4" t="inlineStr">
        <is>
          <t>used_discount_rate / used_at / usage_logs</t>
        </is>
      </c>
      <c r="D13" s="4" t="inlineStr">
        <is>
          <t>公開終了後は使用不可 / 二重使用不可</t>
        </is>
      </c>
      <c r="E13" s="4" t="inlineStr">
        <is>
          <t>200 / 400 / 404 / 409 / 500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0" customWidth="1" min="3" max="3"/>
    <col width="30" customWidth="1" min="4" max="4"/>
    <col width="28" customWidth="1" min="5" max="5"/>
  </cols>
  <sheetData>
    <row r="1" ht="24" customHeight="1">
      <c r="A1" s="1" t="inlineStr">
        <is>
          <t>DB仕様とフロント導線</t>
        </is>
      </c>
    </row>
    <row r="2" ht="22" customHeight="1"/>
    <row r="3" ht="22" customHeight="1">
      <c r="A3" s="2" t="inlineStr">
        <is>
          <t>テーブル</t>
        </is>
      </c>
      <c r="B3" s="2" t="inlineStr">
        <is>
          <t>カラム</t>
        </is>
      </c>
      <c r="C3" s="2" t="inlineStr">
        <is>
          <t>区分</t>
        </is>
      </c>
      <c r="D3" s="2" t="inlineStr">
        <is>
          <t>意味</t>
        </is>
      </c>
      <c r="E3" s="2" t="inlineStr">
        <is>
          <t>備考</t>
        </is>
      </c>
    </row>
    <row r="4" ht="32" customHeight="1">
      <c r="A4" s="4" t="inlineStr">
        <is>
          <t>coupon_plans</t>
        </is>
      </c>
      <c r="B4" s="4" t="inlineStr">
        <is>
          <t>unit_price / cost_rate / viewers / public_start_date / public_end_date</t>
        </is>
      </c>
      <c r="C4" s="9" t="inlineStr">
        <is>
          <t>保持</t>
        </is>
      </c>
      <c r="D4" s="4" t="inlineStr">
        <is>
          <t>自動生成の入力条件</t>
        </is>
      </c>
      <c r="E4" s="4" t="inlineStr">
        <is>
          <t>減衰minutes系は廃止</t>
        </is>
      </c>
    </row>
    <row r="5" ht="32" customHeight="1">
      <c r="A5" s="4" t="inlineStr">
        <is>
          <t>coupon_plans</t>
        </is>
      </c>
      <c r="B5" s="4" t="inlineStr">
        <is>
          <t>decay_interval_minutes</t>
        </is>
      </c>
      <c r="C5" s="8" t="inlineStr">
        <is>
          <t>削除</t>
        </is>
      </c>
      <c r="D5" s="4" t="inlineStr">
        <is>
          <t>旧仕様の痕跡</t>
        </is>
      </c>
      <c r="E5" s="4" t="inlineStr">
        <is>
          <t>全面廃止</t>
        </is>
      </c>
    </row>
    <row r="6" ht="32" customHeight="1">
      <c r="A6" s="4" t="inlineStr">
        <is>
          <t>coupon_plan_daily_rates</t>
        </is>
      </c>
      <c r="B6" s="4" t="inlineStr">
        <is>
          <t>coupon_plan_id / target_date / discount_rate / source_type / is_manual_override</t>
        </is>
      </c>
      <c r="C6" s="10" t="inlineStr">
        <is>
          <t>追加</t>
        </is>
      </c>
      <c r="D6" s="4" t="inlineStr">
        <is>
          <t>日別確定割引率</t>
        </is>
      </c>
      <c r="E6" s="4" t="inlineStr">
        <is>
          <t>APIはこの日付表を参照</t>
        </is>
      </c>
    </row>
    <row r="7" ht="32" customHeight="1">
      <c r="A7" s="4" t="inlineStr">
        <is>
          <t>coupons</t>
        </is>
      </c>
      <c r="B7" s="4" t="inlineStr">
        <is>
          <t>issued_discount_rate</t>
        </is>
      </c>
      <c r="C7" s="9" t="inlineStr">
        <is>
          <t>保持(意味変更)</t>
        </is>
      </c>
      <c r="D7" s="4" t="inlineStr">
        <is>
          <t>取得時点の基準割引率記録</t>
        </is>
      </c>
      <c r="E7" s="4" t="inlineStr">
        <is>
          <t>比較・履歴用</t>
        </is>
      </c>
    </row>
    <row r="8" ht="32" customHeight="1">
      <c r="A8" s="4" t="inlineStr">
        <is>
          <t>coupons</t>
        </is>
      </c>
      <c r="B8" s="4" t="inlineStr">
        <is>
          <t>used_discount_rate</t>
        </is>
      </c>
      <c r="C8" s="9" t="inlineStr">
        <is>
          <t>保持</t>
        </is>
      </c>
      <c r="D8" s="4" t="inlineStr">
        <is>
          <t>使用時点の確定割引率</t>
        </is>
      </c>
      <c r="E8" s="4" t="inlineStr">
        <is>
          <t>会計・表示用</t>
        </is>
      </c>
    </row>
    <row r="9" ht="32" customHeight="1">
      <c r="A9" s="4" t="inlineStr">
        <is>
          <t>usage_logs</t>
        </is>
      </c>
      <c r="B9" s="4" t="inlineStr">
        <is>
          <t>used_discount_rate / used_at</t>
        </is>
      </c>
      <c r="C9" s="9" t="inlineStr">
        <is>
          <t>保持</t>
        </is>
      </c>
      <c r="D9" s="4" t="inlineStr">
        <is>
          <t>利用履歴</t>
        </is>
      </c>
      <c r="E9" s="4" t="inlineStr">
        <is>
          <t>監査用</t>
        </is>
      </c>
    </row>
    <row r="10" ht="32" customHeight="1">
      <c r="A10" s="4" t="inlineStr">
        <is>
          <t>user_terms_agreements</t>
        </is>
      </c>
      <c r="B10" s="4" t="inlineStr">
        <is>
          <t>user_id / agreed_at / version</t>
        </is>
      </c>
      <c r="C10" s="10" t="inlineStr">
        <is>
          <t>追加</t>
        </is>
      </c>
      <c r="D10" s="4" t="inlineStr">
        <is>
          <t>規約同意導線用</t>
        </is>
      </c>
      <c r="E10" s="4" t="inlineStr">
        <is>
          <t>フロント入口条件</t>
        </is>
      </c>
    </row>
    <row r="11" ht="32" customHeight="1">
      <c r="A11" s="4" t="inlineStr">
        <is>
          <t>survey_answers</t>
        </is>
      </c>
      <c r="B11" s="4" t="inlineStr">
        <is>
          <t>user_id / coupon_plan_id / answered_at / payload_json</t>
        </is>
      </c>
      <c r="C11" s="10" t="inlineStr">
        <is>
          <t>追加</t>
        </is>
      </c>
      <c r="D11" s="4" t="inlineStr">
        <is>
          <t>アンケート導線用</t>
        </is>
      </c>
      <c r="E11" s="4" t="inlineStr">
        <is>
          <t>初回必須ならここで管理</t>
        </is>
      </c>
    </row>
    <row r="12" ht="22" customHeight="1"/>
    <row r="13" ht="22" customHeight="1"/>
    <row r="14" ht="22" customHeight="1">
      <c r="A14" s="2" t="inlineStr">
        <is>
          <t>画面</t>
        </is>
      </c>
      <c r="B14" s="2" t="inlineStr">
        <is>
          <t>役割</t>
        </is>
      </c>
      <c r="C14" s="2" t="inlineStr">
        <is>
          <t>主な操作</t>
        </is>
      </c>
      <c r="D14" s="2" t="inlineStr">
        <is>
          <t>必要データ</t>
        </is>
      </c>
      <c r="E14" s="2" t="inlineStr">
        <is>
          <t>備考</t>
        </is>
      </c>
    </row>
    <row r="15" ht="28" customHeight="1">
      <c r="A15" s="4" t="inlineStr">
        <is>
          <t>entry</t>
        </is>
      </c>
      <c r="B15" s="4" t="inlineStr">
        <is>
          <t>入口</t>
        </is>
      </c>
      <c r="C15" s="4" t="inlineStr">
        <is>
          <t>認証後の分岐</t>
        </is>
      </c>
      <c r="D15" s="4" t="inlineStr">
        <is>
          <t>ログイン状態</t>
        </is>
      </c>
      <c r="E15" s="4" t="inlineStr">
        <is>
          <t>規約未同意なら terms へ</t>
        </is>
      </c>
    </row>
    <row r="16" ht="28" customHeight="1">
      <c r="A16" s="4" t="inlineStr">
        <is>
          <t>terms</t>
        </is>
      </c>
      <c r="B16" s="4" t="inlineStr">
        <is>
          <t>利用規約同意</t>
        </is>
      </c>
      <c r="C16" s="4" t="inlineStr">
        <is>
          <t>同意する</t>
        </is>
      </c>
      <c r="D16" s="4" t="inlineStr">
        <is>
          <t>規約version</t>
        </is>
      </c>
      <c r="E16" s="4" t="inlineStr">
        <is>
          <t>同意履歴保存</t>
        </is>
      </c>
    </row>
    <row r="17" ht="28" customHeight="1">
      <c r="A17" s="4" t="inlineStr">
        <is>
          <t>survey</t>
        </is>
      </c>
      <c r="B17" s="4" t="inlineStr">
        <is>
          <t>アンケート</t>
        </is>
      </c>
      <c r="C17" s="4" t="inlineStr">
        <is>
          <t>回答送信</t>
        </is>
      </c>
      <c r="D17" s="4" t="inlineStr">
        <is>
          <t>質問定義 / 回答payload</t>
        </is>
      </c>
      <c r="E17" s="4" t="inlineStr">
        <is>
          <t>完了後 coupon-select へ</t>
        </is>
      </c>
    </row>
    <row r="18" ht="28" customHeight="1">
      <c r="A18" s="4" t="inlineStr">
        <is>
          <t>coupon-select</t>
        </is>
      </c>
      <c r="B18" s="4" t="inlineStr">
        <is>
          <t>複数クーポン選択</t>
        </is>
      </c>
      <c r="C18" s="4" t="inlineStr">
        <is>
          <t>対象クーポンを選ぶ</t>
        </is>
      </c>
      <c r="D18" s="4" t="inlineStr">
        <is>
          <t>クーポン一覧 / 日別現在率</t>
        </is>
      </c>
      <c r="E18" s="4" t="inlineStr">
        <is>
          <t>ここでサムネ表示</t>
        </is>
      </c>
    </row>
    <row r="19" ht="28" customHeight="1">
      <c r="A19" s="4" t="inlineStr">
        <is>
          <t>coupon-detail</t>
        </is>
      </c>
      <c r="B19" s="4" t="inlineStr">
        <is>
          <t>詳細表示</t>
        </is>
      </c>
      <c r="C19" s="4" t="inlineStr">
        <is>
          <t>取得 / 使用前確認</t>
        </is>
      </c>
      <c r="D19" s="4" t="inlineStr">
        <is>
          <t>issued/current/期日/注意文</t>
        </is>
      </c>
      <c r="E19" s="4" t="inlineStr">
        <is>
          <t>旧 kore.html の役割を再配置</t>
        </is>
      </c>
    </row>
    <row r="20" ht="28" customHeight="1">
      <c r="A20" s="4" t="inlineStr">
        <is>
          <t>confirm</t>
        </is>
      </c>
      <c r="B20" s="4" t="inlineStr">
        <is>
          <t>使用確認</t>
        </is>
      </c>
      <c r="C20" s="4" t="inlineStr">
        <is>
          <t>使用する</t>
        </is>
      </c>
      <c r="D20" s="4" t="inlineStr">
        <is>
          <t>coupon_code / current/used判定</t>
        </is>
      </c>
      <c r="E20" s="4" t="inlineStr">
        <is>
          <t>誤操作防止</t>
        </is>
      </c>
    </row>
    <row r="21" ht="28" customHeight="1">
      <c r="A21" s="4" t="inlineStr">
        <is>
          <t>complete</t>
        </is>
      </c>
      <c r="B21" s="4" t="inlineStr">
        <is>
          <t>完了</t>
        </is>
      </c>
      <c r="C21" s="4" t="inlineStr">
        <is>
          <t>閉じる / 戻る</t>
        </is>
      </c>
      <c r="D21" s="4" t="inlineStr">
        <is>
          <t>used_discount_rate / used_at</t>
        </is>
      </c>
      <c r="E21" s="4" t="inlineStr">
        <is>
          <t>使用済表示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8" customWidth="1" min="5" max="5"/>
    <col width="16" customWidth="1" min="6" max="6"/>
    <col width="18" customWidth="1" min="7" max="7"/>
    <col width="2" customWidth="1" min="9" max="9"/>
  </cols>
  <sheetData>
    <row r="1" ht="24" customHeight="1">
      <c r="A1" s="1" t="inlineStr">
        <is>
          <t>最大粗利益モデル（coupon_model.php / max_coupon_rate.md 準拠）</t>
        </is>
      </c>
    </row>
    <row r="2" ht="22" customHeight="1"/>
    <row r="3" ht="22" customHeight="1">
      <c r="A3" s="3" t="inlineStr">
        <is>
          <t>入力</t>
        </is>
      </c>
      <c r="D3" s="5" t="inlineStr">
        <is>
          <t>主要KPI</t>
        </is>
      </c>
      <c r="E3" s="5" t="inlineStr">
        <is>
          <t>値</t>
        </is>
      </c>
    </row>
    <row r="4" ht="22" customHeight="1">
      <c r="A4" s="3" t="inlineStr">
        <is>
          <t>係数a</t>
        </is>
      </c>
      <c r="B4" s="11" t="n">
        <v>0.01</v>
      </c>
      <c r="D4" s="3" t="inlineStr">
        <is>
          <t>候補最大期待粗利益</t>
        </is>
      </c>
      <c r="E4" s="12">
        <f>MAX(G16:G36)</f>
        <v/>
      </c>
    </row>
    <row r="5" ht="22" customHeight="1">
      <c r="A5" s="3" t="inlineStr">
        <is>
          <t>係数b</t>
        </is>
      </c>
      <c r="B5" s="13" t="n">
        <v>4.14</v>
      </c>
      <c r="D5" s="3" t="inlineStr">
        <is>
          <t>候補最適割引率</t>
        </is>
      </c>
      <c r="E5" s="14">
        <f>INDEX(A16:A36,MATCH(E4,G16:G36,0))</f>
        <v/>
      </c>
    </row>
    <row r="6" ht="22" customHeight="1">
      <c r="A6" s="3" t="inlineStr">
        <is>
          <t>商品単価</t>
        </is>
      </c>
      <c r="B6" s="15" t="n">
        <v>3600</v>
      </c>
      <c r="D6" s="3" t="inlineStr">
        <is>
          <t>候補最適時の利用率</t>
        </is>
      </c>
      <c r="E6" s="14">
        <f>INDEX(B16:B36,MATCH(E4,G16:G36,0))</f>
        <v/>
      </c>
    </row>
    <row r="7" ht="22" customHeight="1">
      <c r="A7" s="3" t="inlineStr">
        <is>
          <t>原価率</t>
        </is>
      </c>
      <c r="B7" s="11" t="n">
        <v>0.35</v>
      </c>
      <c r="D7" s="3" t="inlineStr">
        <is>
          <t>候補最適時の期待利用人数</t>
        </is>
      </c>
      <c r="E7" s="16">
        <f>INDEX(C16:C36,MATCH(E4,G16:G36,0))</f>
        <v/>
      </c>
    </row>
    <row r="8" ht="22" customHeight="1">
      <c r="A8" s="3" t="inlineStr">
        <is>
          <t>想定閲覧数</t>
        </is>
      </c>
      <c r="B8" s="17" t="n">
        <v>1000</v>
      </c>
    </row>
    <row r="9" ht="22" customHeight="1">
      <c r="A9" s="3" t="inlineStr">
        <is>
          <t>最小割引率</t>
        </is>
      </c>
      <c r="B9" s="11" t="n">
        <v>0.3</v>
      </c>
    </row>
    <row r="10" ht="22" customHeight="1">
      <c r="A10" s="3" t="inlineStr">
        <is>
          <t>最大割引率</t>
        </is>
      </c>
      <c r="B10" s="11" t="n">
        <v>0.5</v>
      </c>
    </row>
    <row r="11" ht="22" customHeight="1">
      <c r="A11" s="3" t="inlineStr">
        <is>
          <t>刻み幅</t>
        </is>
      </c>
      <c r="B11" s="11" t="n">
        <v>0.01</v>
      </c>
    </row>
    <row r="12" ht="22" customHeight="1">
      <c r="A12" s="3" t="inlineStr">
        <is>
          <t>理論最適割引率 d*</t>
        </is>
      </c>
      <c r="B12" s="18">
        <f>1-B7-(1/B5)</f>
        <v/>
      </c>
    </row>
    <row r="13" ht="22" customHeight="1"/>
    <row r="14" ht="22" customHeight="1"/>
    <row r="15" ht="22" customHeight="1">
      <c r="A15" s="2" t="inlineStr">
        <is>
          <t>discount_rate</t>
        </is>
      </c>
      <c r="B15" s="2" t="inlineStr">
        <is>
          <t>usage_rate</t>
        </is>
      </c>
      <c r="C15" s="2" t="inlineStr">
        <is>
          <t>expected_users</t>
        </is>
      </c>
      <c r="D15" s="2" t="inlineStr">
        <is>
          <t>unit_sales</t>
        </is>
      </c>
      <c r="E15" s="2" t="inlineStr">
        <is>
          <t>unit_gross_profit</t>
        </is>
      </c>
      <c r="F15" s="2" t="inlineStr">
        <is>
          <t>expected_sales</t>
        </is>
      </c>
      <c r="G15" s="2" t="inlineStr">
        <is>
          <t>expected_gross_profit</t>
        </is>
      </c>
    </row>
    <row r="16" ht="22" customHeight="1">
      <c r="A16" s="18">
        <f>B9</f>
        <v/>
      </c>
      <c r="B16" s="18">
        <f>ROUND(MIN(1,MAX(0,$B$4*EXP($B$5*A16))),4)</f>
        <v/>
      </c>
      <c r="C16" s="19">
        <f>ROUND($B$8*B16,1)</f>
        <v/>
      </c>
      <c r="D16" s="20">
        <f>ROUND($B$6*(1-A16),0)</f>
        <v/>
      </c>
      <c r="E16" s="20">
        <f>ROUND($B$6*(1-A16-$B$7),0)</f>
        <v/>
      </c>
      <c r="F16" s="20">
        <f>ROUND(C16*D16,0)</f>
        <v/>
      </c>
      <c r="G16" s="20">
        <f>ROUND(C16*E16,0)</f>
        <v/>
      </c>
    </row>
    <row r="17" ht="22" customHeight="1">
      <c r="A17" s="18">
        <f>A16+$B$11</f>
        <v/>
      </c>
      <c r="B17" s="18">
        <f>ROUND(MIN(1,MAX(0,$B$4*EXP($B$5*A17))),4)</f>
        <v/>
      </c>
      <c r="C17" s="19">
        <f>ROUND($B$8*B17,1)</f>
        <v/>
      </c>
      <c r="D17" s="20">
        <f>ROUND($B$6*(1-A17),0)</f>
        <v/>
      </c>
      <c r="E17" s="20">
        <f>ROUND($B$6*(1-A17-$B$7),0)</f>
        <v/>
      </c>
      <c r="F17" s="20">
        <f>ROUND(C17*D17,0)</f>
        <v/>
      </c>
      <c r="G17" s="20">
        <f>ROUND(C17*E17,0)</f>
        <v/>
      </c>
    </row>
    <row r="18" ht="22" customHeight="1">
      <c r="A18" s="18">
        <f>A17+$B$11</f>
        <v/>
      </c>
      <c r="B18" s="18">
        <f>ROUND(MIN(1,MAX(0,$B$4*EXP($B$5*A18))),4)</f>
        <v/>
      </c>
      <c r="C18" s="19">
        <f>ROUND($B$8*B18,1)</f>
        <v/>
      </c>
      <c r="D18" s="20">
        <f>ROUND($B$6*(1-A18),0)</f>
        <v/>
      </c>
      <c r="E18" s="20">
        <f>ROUND($B$6*(1-A18-$B$7),0)</f>
        <v/>
      </c>
      <c r="F18" s="20">
        <f>ROUND(C18*D18,0)</f>
        <v/>
      </c>
      <c r="G18" s="20">
        <f>ROUND(C18*E18,0)</f>
        <v/>
      </c>
    </row>
    <row r="19" ht="22" customHeight="1">
      <c r="A19" s="18">
        <f>A18+$B$11</f>
        <v/>
      </c>
      <c r="B19" s="18">
        <f>ROUND(MIN(1,MAX(0,$B$4*EXP($B$5*A19))),4)</f>
        <v/>
      </c>
      <c r="C19" s="19">
        <f>ROUND($B$8*B19,1)</f>
        <v/>
      </c>
      <c r="D19" s="20">
        <f>ROUND($B$6*(1-A19),0)</f>
        <v/>
      </c>
      <c r="E19" s="20">
        <f>ROUND($B$6*(1-A19-$B$7),0)</f>
        <v/>
      </c>
      <c r="F19" s="20">
        <f>ROUND(C19*D19,0)</f>
        <v/>
      </c>
      <c r="G19" s="20">
        <f>ROUND(C19*E19,0)</f>
        <v/>
      </c>
    </row>
    <row r="20" ht="22" customHeight="1">
      <c r="A20" s="18">
        <f>A19+$B$11</f>
        <v/>
      </c>
      <c r="B20" s="18">
        <f>ROUND(MIN(1,MAX(0,$B$4*EXP($B$5*A20))),4)</f>
        <v/>
      </c>
      <c r="C20" s="19">
        <f>ROUND($B$8*B20,1)</f>
        <v/>
      </c>
      <c r="D20" s="20">
        <f>ROUND($B$6*(1-A20),0)</f>
        <v/>
      </c>
      <c r="E20" s="20">
        <f>ROUND($B$6*(1-A20-$B$7),0)</f>
        <v/>
      </c>
      <c r="F20" s="20">
        <f>ROUND(C20*D20,0)</f>
        <v/>
      </c>
      <c r="G20" s="20">
        <f>ROUND(C20*E20,0)</f>
        <v/>
      </c>
    </row>
    <row r="21" ht="22" customHeight="1">
      <c r="A21" s="18">
        <f>A20+$B$11</f>
        <v/>
      </c>
      <c r="B21" s="18">
        <f>ROUND(MIN(1,MAX(0,$B$4*EXP($B$5*A21))),4)</f>
        <v/>
      </c>
      <c r="C21" s="19">
        <f>ROUND($B$8*B21,1)</f>
        <v/>
      </c>
      <c r="D21" s="20">
        <f>ROUND($B$6*(1-A21),0)</f>
        <v/>
      </c>
      <c r="E21" s="20">
        <f>ROUND($B$6*(1-A21-$B$7),0)</f>
        <v/>
      </c>
      <c r="F21" s="20">
        <f>ROUND(C21*D21,0)</f>
        <v/>
      </c>
      <c r="G21" s="20">
        <f>ROUND(C21*E21,0)</f>
        <v/>
      </c>
    </row>
    <row r="22" ht="22" customHeight="1">
      <c r="A22" s="18">
        <f>A21+$B$11</f>
        <v/>
      </c>
      <c r="B22" s="18">
        <f>ROUND(MIN(1,MAX(0,$B$4*EXP($B$5*A22))),4)</f>
        <v/>
      </c>
      <c r="C22" s="19">
        <f>ROUND($B$8*B22,1)</f>
        <v/>
      </c>
      <c r="D22" s="20">
        <f>ROUND($B$6*(1-A22),0)</f>
        <v/>
      </c>
      <c r="E22" s="20">
        <f>ROUND($B$6*(1-A22-$B$7),0)</f>
        <v/>
      </c>
      <c r="F22" s="20">
        <f>ROUND(C22*D22,0)</f>
        <v/>
      </c>
      <c r="G22" s="20">
        <f>ROUND(C22*E22,0)</f>
        <v/>
      </c>
    </row>
    <row r="23" ht="22" customHeight="1">
      <c r="A23" s="18">
        <f>A22+$B$11</f>
        <v/>
      </c>
      <c r="B23" s="18">
        <f>ROUND(MIN(1,MAX(0,$B$4*EXP($B$5*A23))),4)</f>
        <v/>
      </c>
      <c r="C23" s="19">
        <f>ROUND($B$8*B23,1)</f>
        <v/>
      </c>
      <c r="D23" s="20">
        <f>ROUND($B$6*(1-A23),0)</f>
        <v/>
      </c>
      <c r="E23" s="20">
        <f>ROUND($B$6*(1-A23-$B$7),0)</f>
        <v/>
      </c>
      <c r="F23" s="20">
        <f>ROUND(C23*D23,0)</f>
        <v/>
      </c>
      <c r="G23" s="20">
        <f>ROUND(C23*E23,0)</f>
        <v/>
      </c>
    </row>
    <row r="24" ht="22" customHeight="1">
      <c r="A24" s="18">
        <f>A23+$B$11</f>
        <v/>
      </c>
      <c r="B24" s="18">
        <f>ROUND(MIN(1,MAX(0,$B$4*EXP($B$5*A24))),4)</f>
        <v/>
      </c>
      <c r="C24" s="19">
        <f>ROUND($B$8*B24,1)</f>
        <v/>
      </c>
      <c r="D24" s="20">
        <f>ROUND($B$6*(1-A24),0)</f>
        <v/>
      </c>
      <c r="E24" s="20">
        <f>ROUND($B$6*(1-A24-$B$7),0)</f>
        <v/>
      </c>
      <c r="F24" s="20">
        <f>ROUND(C24*D24,0)</f>
        <v/>
      </c>
      <c r="G24" s="20">
        <f>ROUND(C24*E24,0)</f>
        <v/>
      </c>
    </row>
    <row r="25" ht="22" customHeight="1">
      <c r="A25" s="18">
        <f>A24+$B$11</f>
        <v/>
      </c>
      <c r="B25" s="18">
        <f>ROUND(MIN(1,MAX(0,$B$4*EXP($B$5*A25))),4)</f>
        <v/>
      </c>
      <c r="C25" s="19">
        <f>ROUND($B$8*B25,1)</f>
        <v/>
      </c>
      <c r="D25" s="20">
        <f>ROUND($B$6*(1-A25),0)</f>
        <v/>
      </c>
      <c r="E25" s="20">
        <f>ROUND($B$6*(1-A25-$B$7),0)</f>
        <v/>
      </c>
      <c r="F25" s="20">
        <f>ROUND(C25*D25,0)</f>
        <v/>
      </c>
      <c r="G25" s="20">
        <f>ROUND(C25*E25,0)</f>
        <v/>
      </c>
    </row>
    <row r="26" ht="22" customHeight="1">
      <c r="A26" s="18">
        <f>A25+$B$11</f>
        <v/>
      </c>
      <c r="B26" s="18">
        <f>ROUND(MIN(1,MAX(0,$B$4*EXP($B$5*A26))),4)</f>
        <v/>
      </c>
      <c r="C26" s="19">
        <f>ROUND($B$8*B26,1)</f>
        <v/>
      </c>
      <c r="D26" s="20">
        <f>ROUND($B$6*(1-A26),0)</f>
        <v/>
      </c>
      <c r="E26" s="20">
        <f>ROUND($B$6*(1-A26-$B$7),0)</f>
        <v/>
      </c>
      <c r="F26" s="20">
        <f>ROUND(C26*D26,0)</f>
        <v/>
      </c>
      <c r="G26" s="20">
        <f>ROUND(C26*E26,0)</f>
        <v/>
      </c>
    </row>
    <row r="27" ht="22" customHeight="1">
      <c r="A27" s="18">
        <f>A26+$B$11</f>
        <v/>
      </c>
      <c r="B27" s="18">
        <f>ROUND(MIN(1,MAX(0,$B$4*EXP($B$5*A27))),4)</f>
        <v/>
      </c>
      <c r="C27" s="19">
        <f>ROUND($B$8*B27,1)</f>
        <v/>
      </c>
      <c r="D27" s="20">
        <f>ROUND($B$6*(1-A27),0)</f>
        <v/>
      </c>
      <c r="E27" s="20">
        <f>ROUND($B$6*(1-A27-$B$7),0)</f>
        <v/>
      </c>
      <c r="F27" s="20">
        <f>ROUND(C27*D27,0)</f>
        <v/>
      </c>
      <c r="G27" s="20">
        <f>ROUND(C27*E27,0)</f>
        <v/>
      </c>
    </row>
    <row r="28" ht="22" customHeight="1">
      <c r="A28" s="18">
        <f>A27+$B$11</f>
        <v/>
      </c>
      <c r="B28" s="18">
        <f>ROUND(MIN(1,MAX(0,$B$4*EXP($B$5*A28))),4)</f>
        <v/>
      </c>
      <c r="C28" s="19">
        <f>ROUND($B$8*B28,1)</f>
        <v/>
      </c>
      <c r="D28" s="20">
        <f>ROUND($B$6*(1-A28),0)</f>
        <v/>
      </c>
      <c r="E28" s="20">
        <f>ROUND($B$6*(1-A28-$B$7),0)</f>
        <v/>
      </c>
      <c r="F28" s="20">
        <f>ROUND(C28*D28,0)</f>
        <v/>
      </c>
      <c r="G28" s="20">
        <f>ROUND(C28*E28,0)</f>
        <v/>
      </c>
    </row>
    <row r="29" ht="22" customHeight="1">
      <c r="A29" s="18">
        <f>A28+$B$11</f>
        <v/>
      </c>
      <c r="B29" s="18">
        <f>ROUND(MIN(1,MAX(0,$B$4*EXP($B$5*A29))),4)</f>
        <v/>
      </c>
      <c r="C29" s="19">
        <f>ROUND($B$8*B29,1)</f>
        <v/>
      </c>
      <c r="D29" s="20">
        <f>ROUND($B$6*(1-A29),0)</f>
        <v/>
      </c>
      <c r="E29" s="20">
        <f>ROUND($B$6*(1-A29-$B$7),0)</f>
        <v/>
      </c>
      <c r="F29" s="20">
        <f>ROUND(C29*D29,0)</f>
        <v/>
      </c>
      <c r="G29" s="20">
        <f>ROUND(C29*E29,0)</f>
        <v/>
      </c>
    </row>
    <row r="30" ht="22" customHeight="1">
      <c r="A30" s="18">
        <f>A29+$B$11</f>
        <v/>
      </c>
      <c r="B30" s="18">
        <f>ROUND(MIN(1,MAX(0,$B$4*EXP($B$5*A30))),4)</f>
        <v/>
      </c>
      <c r="C30" s="19">
        <f>ROUND($B$8*B30,1)</f>
        <v/>
      </c>
      <c r="D30" s="20">
        <f>ROUND($B$6*(1-A30),0)</f>
        <v/>
      </c>
      <c r="E30" s="20">
        <f>ROUND($B$6*(1-A30-$B$7),0)</f>
        <v/>
      </c>
      <c r="F30" s="20">
        <f>ROUND(C30*D30,0)</f>
        <v/>
      </c>
      <c r="G30" s="20">
        <f>ROUND(C30*E30,0)</f>
        <v/>
      </c>
    </row>
    <row r="31" ht="22" customHeight="1">
      <c r="A31" s="18">
        <f>A30+$B$11</f>
        <v/>
      </c>
      <c r="B31" s="18">
        <f>ROUND(MIN(1,MAX(0,$B$4*EXP($B$5*A31))),4)</f>
        <v/>
      </c>
      <c r="C31" s="19">
        <f>ROUND($B$8*B31,1)</f>
        <v/>
      </c>
      <c r="D31" s="20">
        <f>ROUND($B$6*(1-A31),0)</f>
        <v/>
      </c>
      <c r="E31" s="20">
        <f>ROUND($B$6*(1-A31-$B$7),0)</f>
        <v/>
      </c>
      <c r="F31" s="20">
        <f>ROUND(C31*D31,0)</f>
        <v/>
      </c>
      <c r="G31" s="20">
        <f>ROUND(C31*E31,0)</f>
        <v/>
      </c>
    </row>
    <row r="32" ht="22" customHeight="1">
      <c r="A32" s="18">
        <f>A31+$B$11</f>
        <v/>
      </c>
      <c r="B32" s="18">
        <f>ROUND(MIN(1,MAX(0,$B$4*EXP($B$5*A32))),4)</f>
        <v/>
      </c>
      <c r="C32" s="19">
        <f>ROUND($B$8*B32,1)</f>
        <v/>
      </c>
      <c r="D32" s="20">
        <f>ROUND($B$6*(1-A32),0)</f>
        <v/>
      </c>
      <c r="E32" s="20">
        <f>ROUND($B$6*(1-A32-$B$7),0)</f>
        <v/>
      </c>
      <c r="F32" s="20">
        <f>ROUND(C32*D32,0)</f>
        <v/>
      </c>
      <c r="G32" s="20">
        <f>ROUND(C32*E32,0)</f>
        <v/>
      </c>
    </row>
    <row r="33" ht="22" customHeight="1">
      <c r="A33" s="18">
        <f>A32+$B$11</f>
        <v/>
      </c>
      <c r="B33" s="18">
        <f>ROUND(MIN(1,MAX(0,$B$4*EXP($B$5*A33))),4)</f>
        <v/>
      </c>
      <c r="C33" s="19">
        <f>ROUND($B$8*B33,1)</f>
        <v/>
      </c>
      <c r="D33" s="20">
        <f>ROUND($B$6*(1-A33),0)</f>
        <v/>
      </c>
      <c r="E33" s="20">
        <f>ROUND($B$6*(1-A33-$B$7),0)</f>
        <v/>
      </c>
      <c r="F33" s="20">
        <f>ROUND(C33*D33,0)</f>
        <v/>
      </c>
      <c r="G33" s="20">
        <f>ROUND(C33*E33,0)</f>
        <v/>
      </c>
    </row>
    <row r="34" ht="22" customHeight="1">
      <c r="A34" s="18">
        <f>A33+$B$11</f>
        <v/>
      </c>
      <c r="B34" s="18">
        <f>ROUND(MIN(1,MAX(0,$B$4*EXP($B$5*A34))),4)</f>
        <v/>
      </c>
      <c r="C34" s="19">
        <f>ROUND($B$8*B34,1)</f>
        <v/>
      </c>
      <c r="D34" s="20">
        <f>ROUND($B$6*(1-A34),0)</f>
        <v/>
      </c>
      <c r="E34" s="20">
        <f>ROUND($B$6*(1-A34-$B$7),0)</f>
        <v/>
      </c>
      <c r="F34" s="20">
        <f>ROUND(C34*D34,0)</f>
        <v/>
      </c>
      <c r="G34" s="20">
        <f>ROUND(C34*E34,0)</f>
        <v/>
      </c>
    </row>
    <row r="35" ht="22" customHeight="1">
      <c r="A35" s="18">
        <f>A34+$B$11</f>
        <v/>
      </c>
      <c r="B35" s="18">
        <f>ROUND(MIN(1,MAX(0,$B$4*EXP($B$5*A35))),4)</f>
        <v/>
      </c>
      <c r="C35" s="19">
        <f>ROUND($B$8*B35,1)</f>
        <v/>
      </c>
      <c r="D35" s="20">
        <f>ROUND($B$6*(1-A35),0)</f>
        <v/>
      </c>
      <c r="E35" s="20">
        <f>ROUND($B$6*(1-A35-$B$7),0)</f>
        <v/>
      </c>
      <c r="F35" s="20">
        <f>ROUND(C35*D35,0)</f>
        <v/>
      </c>
      <c r="G35" s="20">
        <f>ROUND(C35*E35,0)</f>
        <v/>
      </c>
    </row>
    <row r="36" ht="22" customHeight="1">
      <c r="A36" s="18">
        <f>A35+$B$11</f>
        <v/>
      </c>
      <c r="B36" s="18">
        <f>ROUND(MIN(1,MAX(0,$B$4*EXP($B$5*A36))),4)</f>
        <v/>
      </c>
      <c r="C36" s="19">
        <f>ROUND($B$8*B36,1)</f>
        <v/>
      </c>
      <c r="D36" s="20">
        <f>ROUND($B$6*(1-A36),0)</f>
        <v/>
      </c>
      <c r="E36" s="20">
        <f>ROUND($B$6*(1-A36-$B$7),0)</f>
        <v/>
      </c>
      <c r="F36" s="20">
        <f>ROUND(C36*D36,0)</f>
        <v/>
      </c>
      <c r="G36" s="20">
        <f>ROUND(C36*E36,0)</f>
        <v/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6" customWidth="1" min="9" max="9"/>
    <col width="22" customWidth="1" min="10" max="10"/>
  </cols>
  <sheetData>
    <row r="1" ht="24" customHeight="1">
      <c r="A1" s="1" t="inlineStr">
        <is>
          <t>日別レート自動生成サンプル（実装前たたき台）</t>
        </is>
      </c>
    </row>
    <row r="2" ht="22" customHeight="1"/>
    <row r="3" ht="22" customHeight="1">
      <c r="A3" s="3" t="inlineStr">
        <is>
          <t>入力</t>
        </is>
      </c>
      <c r="I3" s="5" t="inlineStr">
        <is>
          <t>確認</t>
        </is>
      </c>
      <c r="J3" s="5" t="inlineStr">
        <is>
          <t>値</t>
        </is>
      </c>
    </row>
    <row r="4" ht="22" customHeight="1">
      <c r="A4" s="3" t="inlineStr">
        <is>
          <t>開始日</t>
        </is>
      </c>
      <c r="B4" s="21" t="n">
        <v>46113</v>
      </c>
      <c r="I4" s="3" t="inlineStr">
        <is>
          <t>開始日 final</t>
        </is>
      </c>
      <c r="J4" s="14">
        <f>INDEX(F17:F30,MATCH(1,A17:A30,0))</f>
        <v/>
      </c>
    </row>
    <row r="5" ht="22" customHeight="1">
      <c r="A5" s="3" t="inlineStr">
        <is>
          <t>終了日</t>
        </is>
      </c>
      <c r="B5" s="21" t="n">
        <v>46119</v>
      </c>
      <c r="I5" s="3" t="inlineStr">
        <is>
          <t>終了日 final</t>
        </is>
      </c>
      <c r="J5" s="14">
        <f>INDEX(F17:F30,MATCH($B$6,A17:A30,0))</f>
        <v/>
      </c>
    </row>
    <row r="6" ht="22" customHeight="1">
      <c r="A6" s="3" t="inlineStr">
        <is>
          <t>総日数</t>
        </is>
      </c>
      <c r="B6">
        <f>B5-B4+1</f>
        <v/>
      </c>
      <c r="I6" s="3" t="inlineStr">
        <is>
          <t>発行済/未使用の表示</t>
        </is>
      </c>
      <c r="J6" s="22" t="inlineStr">
        <is>
          <t>current_discount_rate を返す</t>
        </is>
      </c>
    </row>
    <row r="7" ht="22" customHeight="1">
      <c r="A7" s="3" t="inlineStr">
        <is>
          <t>開始割引率</t>
        </is>
      </c>
      <c r="B7" s="18">
        <f>'04_粗利益モデル'!B10</f>
        <v/>
      </c>
      <c r="I7" s="3" t="inlineStr">
        <is>
          <t>公開終了後の使用</t>
        </is>
      </c>
      <c r="J7" s="22" t="inlineStr">
        <is>
          <t>使用不可</t>
        </is>
      </c>
    </row>
    <row r="8" ht="22" customHeight="1">
      <c r="A8" s="3" t="inlineStr">
        <is>
          <t>最適割引率</t>
        </is>
      </c>
      <c r="B8" s="18">
        <f>'04_粗利益モデル'!E5</f>
        <v/>
      </c>
      <c r="I8" s="3" t="inlineStr">
        <is>
          <t>旧 minutes カラム</t>
        </is>
      </c>
      <c r="J8" s="22" t="inlineStr">
        <is>
          <t>削除対象</t>
        </is>
      </c>
    </row>
    <row r="9" ht="22" customHeight="1">
      <c r="A9" s="3" t="inlineStr">
        <is>
          <t>終了割引率</t>
        </is>
      </c>
      <c r="B9" s="18">
        <f>'04_粗利益モデル'!B9</f>
        <v/>
      </c>
    </row>
    <row r="10" ht="22" customHeight="1">
      <c r="A10" s="3" t="inlineStr">
        <is>
          <t>最適帯開始日(通算日)</t>
        </is>
      </c>
      <c r="B10" s="23">
        <f>ROUNDUP(B6/2,0)</f>
        <v/>
      </c>
    </row>
    <row r="11" ht="22" customHeight="1">
      <c r="A11" s="3" t="inlineStr">
        <is>
          <t>最適帯終了日(通算日)</t>
        </is>
      </c>
      <c r="B11" s="23">
        <f>MIN(B6,B10+1)</f>
        <v/>
      </c>
    </row>
    <row r="12" ht="34" customHeight="1">
      <c r="A12" s="3" t="inlineStr">
        <is>
          <t>override 方針</t>
        </is>
      </c>
      <c r="B12" s="24" t="inlineStr">
        <is>
          <t>自動生成後に manager が日別 override 可</t>
        </is>
      </c>
    </row>
    <row r="13" ht="34" customHeight="1">
      <c r="A13" s="3" t="inlineStr">
        <is>
          <t>仕様メモ</t>
        </is>
      </c>
      <c r="B13" s="24" t="inlineStr">
        <is>
          <t>開始日は最大割引、終了日は最小割引。中盤は最大粗利益帯を意識して最適率付近を1〜2日保持する。</t>
        </is>
      </c>
    </row>
    <row r="14" ht="22" customHeight="1"/>
    <row r="15" ht="22" customHeight="1"/>
    <row r="16" ht="22" customHeight="1">
      <c r="A16" s="2" t="inlineStr">
        <is>
          <t>day_no</t>
        </is>
      </c>
      <c r="B16" s="2" t="inlineStr">
        <is>
          <t>target_date</t>
        </is>
      </c>
      <c r="C16" s="2" t="inlineStr">
        <is>
          <t>phase</t>
        </is>
      </c>
      <c r="D16" s="2" t="inlineStr">
        <is>
          <t>auto_discount_rate</t>
        </is>
      </c>
      <c r="E16" s="2" t="inlineStr">
        <is>
          <t>manual_override_rate</t>
        </is>
      </c>
      <c r="F16" s="2" t="inlineStr">
        <is>
          <t>final_discount_rate</t>
        </is>
      </c>
      <c r="G16" s="2" t="inlineStr">
        <is>
          <t>note</t>
        </is>
      </c>
    </row>
    <row r="17" ht="26" customHeight="1">
      <c r="A17" s="25" t="n">
        <v>1</v>
      </c>
      <c r="B17" s="26">
        <f>IF(A17&lt;=$B$6,$B$4+A17-1,"")</f>
        <v/>
      </c>
      <c r="C17" s="23">
        <f>IF(A17&gt;$B$6,"",IF(A17&lt;$B$10,"front",IF(A17&lt;=$B$11,"optimal_band","back")))</f>
        <v/>
      </c>
      <c r="D17" s="18">
        <f>IF(A17&gt;$B$6,"",IF(A17=1,$B$7,IF(A17&lt;$B$10,ROUND($B$7-((A17-1)*($B$7-$B$8)/MAX(1,$B$10-1)),4),IF(A17&lt;=$B$11,$B$8,ROUND($B$8-((A17-$B$11)*($B$8-$B$9)/MAX(1,$B$6-$B$11)),4)))))</f>
        <v/>
      </c>
      <c r="E17" s="11" t="inlineStr"/>
      <c r="F17" s="18">
        <f>IF(A17&gt;$B$6,"",IF(E17&lt;&gt;"",E17,D17))</f>
        <v/>
      </c>
      <c r="G17" s="23">
        <f>IF(A17&gt;$B$6,"",IF(E17&lt;&gt;"","manual override","auto"))</f>
        <v/>
      </c>
    </row>
    <row r="18" ht="26" customHeight="1">
      <c r="A18" s="25" t="n">
        <v>2</v>
      </c>
      <c r="B18" s="26">
        <f>IF(A18&lt;=$B$6,$B$4+A18-1,"")</f>
        <v/>
      </c>
      <c r="C18" s="23">
        <f>IF(A18&gt;$B$6,"",IF(A18&lt;$B$10,"front",IF(A18&lt;=$B$11,"optimal_band","back")))</f>
        <v/>
      </c>
      <c r="D18" s="18">
        <f>IF(A18&gt;$B$6,"",IF(A18=1,$B$7,IF(A18&lt;$B$10,ROUND($B$7-((A18-1)*($B$7-$B$8)/MAX(1,$B$10-1)),4),IF(A18&lt;=$B$11,$B$8,ROUND($B$8-((A18-$B$11)*($B$8-$B$9)/MAX(1,$B$6-$B$11)),4)))))</f>
        <v/>
      </c>
      <c r="E18" s="11" t="inlineStr"/>
      <c r="F18" s="18">
        <f>IF(A18&gt;$B$6,"",IF(E18&lt;&gt;"",E18,D18))</f>
        <v/>
      </c>
      <c r="G18" s="23">
        <f>IF(A18&gt;$B$6,"",IF(E18&lt;&gt;"","manual override","auto"))</f>
        <v/>
      </c>
    </row>
    <row r="19" ht="26" customHeight="1">
      <c r="A19" s="25" t="n">
        <v>3</v>
      </c>
      <c r="B19" s="26">
        <f>IF(A19&lt;=$B$6,$B$4+A19-1,"")</f>
        <v/>
      </c>
      <c r="C19" s="23">
        <f>IF(A19&gt;$B$6,"",IF(A19&lt;$B$10,"front",IF(A19&lt;=$B$11,"optimal_band","back")))</f>
        <v/>
      </c>
      <c r="D19" s="18">
        <f>IF(A19&gt;$B$6,"",IF(A19=1,$B$7,IF(A19&lt;$B$10,ROUND($B$7-((A19-1)*($B$7-$B$8)/MAX(1,$B$10-1)),4),IF(A19&lt;=$B$11,$B$8,ROUND($B$8-((A19-$B$11)*($B$8-$B$9)/MAX(1,$B$6-$B$11)),4)))))</f>
        <v/>
      </c>
      <c r="E19" s="11" t="inlineStr"/>
      <c r="F19" s="18">
        <f>IF(A19&gt;$B$6,"",IF(E19&lt;&gt;"",E19,D19))</f>
        <v/>
      </c>
      <c r="G19" s="23">
        <f>IF(A19&gt;$B$6,"",IF(E19&lt;&gt;"","manual override","auto"))</f>
        <v/>
      </c>
    </row>
    <row r="20" ht="26" customHeight="1">
      <c r="A20" s="25" t="n">
        <v>4</v>
      </c>
      <c r="B20" s="26">
        <f>IF(A20&lt;=$B$6,$B$4+A20-1,"")</f>
        <v/>
      </c>
      <c r="C20" s="23">
        <f>IF(A20&gt;$B$6,"",IF(A20&lt;$B$10,"front",IF(A20&lt;=$B$11,"optimal_band","back")))</f>
        <v/>
      </c>
      <c r="D20" s="18">
        <f>IF(A20&gt;$B$6,"",IF(A20=1,$B$7,IF(A20&lt;$B$10,ROUND($B$7-((A20-1)*($B$7-$B$8)/MAX(1,$B$10-1)),4),IF(A20&lt;=$B$11,$B$8,ROUND($B$8-((A20-$B$11)*($B$8-$B$9)/MAX(1,$B$6-$B$11)),4)))))</f>
        <v/>
      </c>
      <c r="E20" s="11" t="inlineStr"/>
      <c r="F20" s="18">
        <f>IF(A20&gt;$B$6,"",IF(E20&lt;&gt;"",E20,D20))</f>
        <v/>
      </c>
      <c r="G20" s="23">
        <f>IF(A20&gt;$B$6,"",IF(E20&lt;&gt;"","manual override","auto"))</f>
        <v/>
      </c>
    </row>
    <row r="21" ht="26" customHeight="1">
      <c r="A21" s="25" t="n">
        <v>5</v>
      </c>
      <c r="B21" s="26">
        <f>IF(A21&lt;=$B$6,$B$4+A21-1,"")</f>
        <v/>
      </c>
      <c r="C21" s="23">
        <f>IF(A21&gt;$B$6,"",IF(A21&lt;$B$10,"front",IF(A21&lt;=$B$11,"optimal_band","back")))</f>
        <v/>
      </c>
      <c r="D21" s="18">
        <f>IF(A21&gt;$B$6,"",IF(A21=1,$B$7,IF(A21&lt;$B$10,ROUND($B$7-((A21-1)*($B$7-$B$8)/MAX(1,$B$10-1)),4),IF(A21&lt;=$B$11,$B$8,ROUND($B$8-((A21-$B$11)*($B$8-$B$9)/MAX(1,$B$6-$B$11)),4)))))</f>
        <v/>
      </c>
      <c r="E21" s="11" t="inlineStr"/>
      <c r="F21" s="18">
        <f>IF(A21&gt;$B$6,"",IF(E21&lt;&gt;"",E21,D21))</f>
        <v/>
      </c>
      <c r="G21" s="23">
        <f>IF(A21&gt;$B$6,"",IF(E21&lt;&gt;"","manual override","auto"))</f>
        <v/>
      </c>
    </row>
    <row r="22" ht="26" customHeight="1">
      <c r="A22" s="25" t="n">
        <v>6</v>
      </c>
      <c r="B22" s="26">
        <f>IF(A22&lt;=$B$6,$B$4+A22-1,"")</f>
        <v/>
      </c>
      <c r="C22" s="23">
        <f>IF(A22&gt;$B$6,"",IF(A22&lt;$B$10,"front",IF(A22&lt;=$B$11,"optimal_band","back")))</f>
        <v/>
      </c>
      <c r="D22" s="18">
        <f>IF(A22&gt;$B$6,"",IF(A22=1,$B$7,IF(A22&lt;$B$10,ROUND($B$7-((A22-1)*($B$7-$B$8)/MAX(1,$B$10-1)),4),IF(A22&lt;=$B$11,$B$8,ROUND($B$8-((A22-$B$11)*($B$8-$B$9)/MAX(1,$B$6-$B$11)),4)))))</f>
        <v/>
      </c>
      <c r="E22" s="11" t="inlineStr"/>
      <c r="F22" s="18">
        <f>IF(A22&gt;$B$6,"",IF(E22&lt;&gt;"",E22,D22))</f>
        <v/>
      </c>
      <c r="G22" s="23">
        <f>IF(A22&gt;$B$6,"",IF(E22&lt;&gt;"","manual override","auto"))</f>
        <v/>
      </c>
    </row>
    <row r="23" ht="26" customHeight="1">
      <c r="A23" s="25" t="n">
        <v>7</v>
      </c>
      <c r="B23" s="26">
        <f>IF(A23&lt;=$B$6,$B$4+A23-1,"")</f>
        <v/>
      </c>
      <c r="C23" s="23">
        <f>IF(A23&gt;$B$6,"",IF(A23&lt;$B$10,"front",IF(A23&lt;=$B$11,"optimal_band","back")))</f>
        <v/>
      </c>
      <c r="D23" s="18">
        <f>IF(A23&gt;$B$6,"",IF(A23=1,$B$7,IF(A23&lt;$B$10,ROUND($B$7-((A23-1)*($B$7-$B$8)/MAX(1,$B$10-1)),4),IF(A23&lt;=$B$11,$B$8,ROUND($B$8-((A23-$B$11)*($B$8-$B$9)/MAX(1,$B$6-$B$11)),4)))))</f>
        <v/>
      </c>
      <c r="E23" s="11" t="inlineStr"/>
      <c r="F23" s="18">
        <f>IF(A23&gt;$B$6,"",IF(E23&lt;&gt;"",E23,D23))</f>
        <v/>
      </c>
      <c r="G23" s="23">
        <f>IF(A23&gt;$B$6,"",IF(E23&lt;&gt;"","manual override","auto"))</f>
        <v/>
      </c>
    </row>
    <row r="24" ht="26" customHeight="1">
      <c r="A24" s="25" t="n">
        <v>8</v>
      </c>
      <c r="B24" s="26">
        <f>IF(A24&lt;=$B$6,$B$4+A24-1,"")</f>
        <v/>
      </c>
      <c r="C24" s="23">
        <f>IF(A24&gt;$B$6,"",IF(A24&lt;$B$10,"front",IF(A24&lt;=$B$11,"optimal_band","back")))</f>
        <v/>
      </c>
      <c r="D24" s="18">
        <f>IF(A24&gt;$B$6,"",IF(A24=1,$B$7,IF(A24&lt;$B$10,ROUND($B$7-((A24-1)*($B$7-$B$8)/MAX(1,$B$10-1)),4),IF(A24&lt;=$B$11,$B$8,ROUND($B$8-((A24-$B$11)*($B$8-$B$9)/MAX(1,$B$6-$B$11)),4)))))</f>
        <v/>
      </c>
      <c r="E24" s="11" t="inlineStr"/>
      <c r="F24" s="18">
        <f>IF(A24&gt;$B$6,"",IF(E24&lt;&gt;"",E24,D24))</f>
        <v/>
      </c>
      <c r="G24" s="23">
        <f>IF(A24&gt;$B$6,"",IF(E24&lt;&gt;"","manual override","auto"))</f>
        <v/>
      </c>
    </row>
    <row r="25" ht="26" customHeight="1">
      <c r="A25" s="25" t="n">
        <v>9</v>
      </c>
      <c r="B25" s="26">
        <f>IF(A25&lt;=$B$6,$B$4+A25-1,"")</f>
        <v/>
      </c>
      <c r="C25" s="23">
        <f>IF(A25&gt;$B$6,"",IF(A25&lt;$B$10,"front",IF(A25&lt;=$B$11,"optimal_band","back")))</f>
        <v/>
      </c>
      <c r="D25" s="18">
        <f>IF(A25&gt;$B$6,"",IF(A25=1,$B$7,IF(A25&lt;$B$10,ROUND($B$7-((A25-1)*($B$7-$B$8)/MAX(1,$B$10-1)),4),IF(A25&lt;=$B$11,$B$8,ROUND($B$8-((A25-$B$11)*($B$8-$B$9)/MAX(1,$B$6-$B$11)),4)))))</f>
        <v/>
      </c>
      <c r="E25" s="11" t="inlineStr"/>
      <c r="F25" s="18">
        <f>IF(A25&gt;$B$6,"",IF(E25&lt;&gt;"",E25,D25))</f>
        <v/>
      </c>
      <c r="G25" s="23">
        <f>IF(A25&gt;$B$6,"",IF(E25&lt;&gt;"","manual override","auto"))</f>
        <v/>
      </c>
    </row>
    <row r="26" ht="26" customHeight="1">
      <c r="A26" s="25" t="n">
        <v>10</v>
      </c>
      <c r="B26" s="26">
        <f>IF(A26&lt;=$B$6,$B$4+A26-1,"")</f>
        <v/>
      </c>
      <c r="C26" s="23">
        <f>IF(A26&gt;$B$6,"",IF(A26&lt;$B$10,"front",IF(A26&lt;=$B$11,"optimal_band","back")))</f>
        <v/>
      </c>
      <c r="D26" s="18">
        <f>IF(A26&gt;$B$6,"",IF(A26=1,$B$7,IF(A26&lt;$B$10,ROUND($B$7-((A26-1)*($B$7-$B$8)/MAX(1,$B$10-1)),4),IF(A26&lt;=$B$11,$B$8,ROUND($B$8-((A26-$B$11)*($B$8-$B$9)/MAX(1,$B$6-$B$11)),4)))))</f>
        <v/>
      </c>
      <c r="E26" s="11" t="inlineStr"/>
      <c r="F26" s="18">
        <f>IF(A26&gt;$B$6,"",IF(E26&lt;&gt;"",E26,D26))</f>
        <v/>
      </c>
      <c r="G26" s="23">
        <f>IF(A26&gt;$B$6,"",IF(E26&lt;&gt;"","manual override","auto"))</f>
        <v/>
      </c>
    </row>
    <row r="27" ht="26" customHeight="1">
      <c r="A27" s="25" t="n">
        <v>11</v>
      </c>
      <c r="B27" s="26">
        <f>IF(A27&lt;=$B$6,$B$4+A27-1,"")</f>
        <v/>
      </c>
      <c r="C27" s="23">
        <f>IF(A27&gt;$B$6,"",IF(A27&lt;$B$10,"front",IF(A27&lt;=$B$11,"optimal_band","back")))</f>
        <v/>
      </c>
      <c r="D27" s="18">
        <f>IF(A27&gt;$B$6,"",IF(A27=1,$B$7,IF(A27&lt;$B$10,ROUND($B$7-((A27-1)*($B$7-$B$8)/MAX(1,$B$10-1)),4),IF(A27&lt;=$B$11,$B$8,ROUND($B$8-((A27-$B$11)*($B$8-$B$9)/MAX(1,$B$6-$B$11)),4)))))</f>
        <v/>
      </c>
      <c r="E27" s="11" t="inlineStr"/>
      <c r="F27" s="18">
        <f>IF(A27&gt;$B$6,"",IF(E27&lt;&gt;"",E27,D27))</f>
        <v/>
      </c>
      <c r="G27" s="23">
        <f>IF(A27&gt;$B$6,"",IF(E27&lt;&gt;"","manual override","auto"))</f>
        <v/>
      </c>
    </row>
    <row r="28" ht="26" customHeight="1">
      <c r="A28" s="25" t="n">
        <v>12</v>
      </c>
      <c r="B28" s="26">
        <f>IF(A28&lt;=$B$6,$B$4+A28-1,"")</f>
        <v/>
      </c>
      <c r="C28" s="23">
        <f>IF(A28&gt;$B$6,"",IF(A28&lt;$B$10,"front",IF(A28&lt;=$B$11,"optimal_band","back")))</f>
        <v/>
      </c>
      <c r="D28" s="18">
        <f>IF(A28&gt;$B$6,"",IF(A28=1,$B$7,IF(A28&lt;$B$10,ROUND($B$7-((A28-1)*($B$7-$B$8)/MAX(1,$B$10-1)),4),IF(A28&lt;=$B$11,$B$8,ROUND($B$8-((A28-$B$11)*($B$8-$B$9)/MAX(1,$B$6-$B$11)),4)))))</f>
        <v/>
      </c>
      <c r="E28" s="11" t="inlineStr"/>
      <c r="F28" s="18">
        <f>IF(A28&gt;$B$6,"",IF(E28&lt;&gt;"",E28,D28))</f>
        <v/>
      </c>
      <c r="G28" s="23">
        <f>IF(A28&gt;$B$6,"",IF(E28&lt;&gt;"","manual override","auto"))</f>
        <v/>
      </c>
    </row>
    <row r="29" ht="26" customHeight="1">
      <c r="A29" s="25" t="n">
        <v>13</v>
      </c>
      <c r="B29" s="26">
        <f>IF(A29&lt;=$B$6,$B$4+A29-1,"")</f>
        <v/>
      </c>
      <c r="C29" s="23">
        <f>IF(A29&gt;$B$6,"",IF(A29&lt;$B$10,"front",IF(A29&lt;=$B$11,"optimal_band","back")))</f>
        <v/>
      </c>
      <c r="D29" s="18">
        <f>IF(A29&gt;$B$6,"",IF(A29=1,$B$7,IF(A29&lt;$B$10,ROUND($B$7-((A29-1)*($B$7-$B$8)/MAX(1,$B$10-1)),4),IF(A29&lt;=$B$11,$B$8,ROUND($B$8-((A29-$B$11)*($B$8-$B$9)/MAX(1,$B$6-$B$11)),4)))))</f>
        <v/>
      </c>
      <c r="E29" s="11" t="inlineStr"/>
      <c r="F29" s="18">
        <f>IF(A29&gt;$B$6,"",IF(E29&lt;&gt;"",E29,D29))</f>
        <v/>
      </c>
      <c r="G29" s="23">
        <f>IF(A29&gt;$B$6,"",IF(E29&lt;&gt;"","manual override","auto"))</f>
        <v/>
      </c>
    </row>
    <row r="30" ht="26" customHeight="1">
      <c r="A30" s="25" t="n">
        <v>14</v>
      </c>
      <c r="B30" s="26">
        <f>IF(A30&lt;=$B$6,$B$4+A30-1,"")</f>
        <v/>
      </c>
      <c r="C30" s="23">
        <f>IF(A30&gt;$B$6,"",IF(A30&lt;$B$10,"front",IF(A30&lt;=$B$11,"optimal_band","back")))</f>
        <v/>
      </c>
      <c r="D30" s="18">
        <f>IF(A30&gt;$B$6,"",IF(A30=1,$B$7,IF(A30&lt;$B$10,ROUND($B$7-((A30-1)*($B$7-$B$8)/MAX(1,$B$10-1)),4),IF(A30&lt;=$B$11,$B$8,ROUND($B$8-((A30-$B$11)*($B$8-$B$9)/MAX(1,$B$6-$B$11)),4)))))</f>
        <v/>
      </c>
      <c r="E30" s="11" t="inlineStr"/>
      <c r="F30" s="18">
        <f>IF(A30&gt;$B$6,"",IF(E30&lt;&gt;"",E30,D30))</f>
        <v/>
      </c>
      <c r="G30" s="23">
        <f>IF(A30&gt;$B$6,"",IF(E30&lt;&gt;"","manual override","auto"))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2026-03-26T02:34:03Z</dcterms:created>
  <dcterms:modified xmlns:dcterms="http://purl.org/dc/terms/" xmlns:xsi="http://www.w3.org/2001/XMLSchema-instance" xsi:type="dcterms:W3CDTF">2026-03-26T02:34:04Z</dcterms:modified>
</cp:coreProperties>
</file>