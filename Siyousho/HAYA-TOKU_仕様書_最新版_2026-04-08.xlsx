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い方" sheetId="1" state="visible" r:id="rId1"/>
    <sheet xmlns:r="http://schemas.openxmlformats.org/officeDocument/2006/relationships" name="01_仕様変更一覧" sheetId="2" state="visible" r:id="rId2"/>
    <sheet xmlns:r="http://schemas.openxmlformats.org/officeDocument/2006/relationships" name="02_API_用語定義" sheetId="3" state="visible" r:id="rId3"/>
    <sheet xmlns:r="http://schemas.openxmlformats.org/officeDocument/2006/relationships" name="03_DB仕様" sheetId="4" state="visible" r:id="rId4"/>
    <sheet xmlns:r="http://schemas.openxmlformats.org/officeDocument/2006/relationships" name="04_PHP改修一覧" sheetId="5" state="visible" r:id="rId5"/>
    <sheet xmlns:r="http://schemas.openxmlformats.org/officeDocument/2006/relationships" name="05_画面導線仕様" sheetId="6" state="visible" r:id="rId6"/>
    <sheet xmlns:r="http://schemas.openxmlformats.org/officeDocument/2006/relationships" name="06_粗利益モデル" sheetId="7" state="visible" r:id="rId7"/>
    <sheet xmlns:r="http://schemas.openxmlformats.org/officeDocument/2006/relationships" name="07_日別レート生成" sheetId="8" state="visible" r:id="rId8"/>
    <sheet xmlns:r="http://schemas.openxmlformats.org/officeDocument/2006/relationships" name="08_実装順_移行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係数a の基準：coupon_model.php / max_coupon_rate.md</t>
      </text>
    </comment>
    <comment ref="B6" authorId="0" shapeId="0">
      <text>
        <t>係数b の基準：coupon_model.php / max_coupon_rate.md</t>
      </text>
    </comment>
  </commentList>
</comments>
</file>

<file path=xl/tables/table1.xml><?xml version="1.0" encoding="utf-8"?>
<table xmlns="http://schemas.openxmlformats.org/spreadsheetml/2006/main" id="1" name="tblGuide" displayName="tblGuide" ref="A4:B12" headerRowCount="1">
  <autoFilter ref="A4:B12"/>
  <tableColumns count="2">
    <tableColumn id="1" name="項目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hanges" displayName="tblChanges" ref="A4:F14" headerRowCount="1">
  <autoFilter ref="A4:F14"/>
  <tableColumns count="6">
    <tableColumn id="1" name="論点"/>
    <tableColumn id="2" name="旧仕様/旧認識"/>
    <tableColumn id="3" name="最新仕様（確定）"/>
    <tableColumn id="4" name="影響範囲"/>
    <tableColumn id="5" name="優先度"/>
    <tableColumn id="6" name="補足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PI" displayName="tblAPI" ref="A4:G12" headerRowCount="1">
  <autoFilter ref="A4:G12"/>
  <tableColumns count="7">
    <tableColumn id="1" name="区分"/>
    <tableColumn id="2" name="名前"/>
    <tableColumn id="3" name="定義"/>
    <tableColumn id="4" name="保存場所"/>
    <tableColumn id="5" name="主な返却/保存先"/>
    <tableColumn id="6" name="禁止・注意"/>
    <tableColumn id="7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B" displayName="tblDB" ref="A4:I38" headerRowCount="1">
  <autoFilter ref="A4:I38"/>
  <tableColumns count="9">
    <tableColumn id="1" name="テーブル"/>
    <tableColumn id="2" name="カラム"/>
    <tableColumn id="3" name="型(想定)"/>
    <tableColumn id="4" name="必須"/>
    <tableColumn id="5" name="区分"/>
    <tableColumn id="6" name="用途/意味"/>
    <tableColumn id="7" name="最新方針"/>
    <tableColumn id="8" name="主な参照PHP"/>
    <tableColumn id="9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HP" displayName="tblPHP" ref="A4:G20" headerRowCount="1">
  <autoFilter ref="A4:G20"/>
  <tableColumns count="7">
    <tableColumn id="1" name="ファイル"/>
    <tableColumn id="2" name="現役割"/>
    <tableColumn id="3" name="主改修内容"/>
    <tableColumn id="4" name="DB影響"/>
    <tableColumn id="5" name="API/画面影響"/>
    <tableColumn id="6" name="優先度"/>
    <tableColumn id="7" name="備考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low" displayName="tblFlow" ref="A4:F16" headerRowCount="1">
  <autoFilter ref="A4:F16"/>
  <tableColumns count="6">
    <tableColumn id="1" name="区分"/>
    <tableColumn id="2" name="画面/段階"/>
    <tableColumn id="3" name="主処理"/>
    <tableColumn id="4" name="必要データ"/>
    <tableColumn id="5" name="使用API/参照"/>
    <tableColumn id="6" name="注意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teps" displayName="tblSteps" ref="A4:E13" headerRowCount="1">
  <autoFilter ref="A4:E13"/>
  <tableColumns count="5">
    <tableColumn id="1" name="順番"/>
    <tableColumn id="2" name="フェーズ"/>
    <tableColumn id="3" name="やること"/>
    <tableColumn id="4" name="完了条件"/>
    <tableColumn id="5" name="対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HAYA-TOKU（🍊ver / PHP PoC）仕様書 2026-04-08版</t>
        </is>
      </c>
    </row>
    <row r="2">
      <c r="A2" s="2" t="inlineStr">
        <is>
          <t>目的：現行実装・DB・API・管理画面・README・schema.sql を最新方針で一致させるための業務仕様書。scripts/init_db.php を DB 正本として扱う。</t>
        </is>
      </c>
    </row>
    <row r="3"/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この仕様書の位置づけ</t>
        </is>
      </c>
      <c r="B5" s="4" t="inlineStr">
        <is>
          <t>HAYA-TOKU の現行仕様を整理した最新版。実装の判断基準は「時間による有効性」と「表示対象選択の分離」を中心に置く。</t>
        </is>
      </c>
    </row>
    <row r="6">
      <c r="A6" s="5" t="inlineStr">
        <is>
          <t>最重要確定</t>
        </is>
      </c>
      <c r="B6" s="5" t="inlineStr">
        <is>
          <t>① decay_interval_minutes は廃止 ② 割引率は日単位で変動 ③ 未使用クーポンでも公開終了後は使用不可 ④ used_discount_rate が最終適用率</t>
        </is>
      </c>
    </row>
    <row r="7">
      <c r="A7" s="4" t="inlineStr">
        <is>
          <t>DBの正本</t>
        </is>
      </c>
      <c r="B7" s="4" t="inlineStr">
        <is>
          <t>scripts/init_db.php を正として schema.sql / README / docs/file-structure.md を一致させる。</t>
        </is>
      </c>
    </row>
    <row r="8">
      <c r="A8" s="5" t="inlineStr">
        <is>
          <t>割引率モデル</t>
        </is>
      </c>
      <c r="B8" s="5" t="inlineStr">
        <is>
          <t>まず coupon_model.php の最大粗利益カーブを基準に日別レートを自動生成し、その後に管理者が日別 override できる前提とする。</t>
        </is>
      </c>
    </row>
    <row r="9">
      <c r="A9" s="4" t="inlineStr">
        <is>
          <t>状態の考え方</t>
        </is>
      </c>
      <c r="B9" s="4" t="inlineStr">
        <is>
          <t>状態 = 現在日時が start_at〜end_at に入っているか。表示対象 = dashboard で選ばれた対象。is_active は時間判定の代わりではない。</t>
        </is>
      </c>
    </row>
    <row r="10">
      <c r="A10" s="5" t="inlineStr">
        <is>
          <t>APIの考え方</t>
        </is>
      </c>
      <c r="B10" s="5" t="inlineStr">
        <is>
          <t>coupon_current は現在の表示率、coupon_issue は発行時の記録値、coupon_use は使用時の確定値を扱う。</t>
        </is>
      </c>
    </row>
    <row r="11">
      <c r="A11" s="4" t="inlineStr">
        <is>
          <t>更新メモ</t>
        </is>
      </c>
      <c r="B11" s="4" t="inlineStr">
        <is>
          <t>参照元</t>
        </is>
      </c>
    </row>
    <row r="12">
      <c r="A12" s="5" t="inlineStr">
        <is>
          <t>この版では DB と PHP 改修要素を独立シート化</t>
        </is>
      </c>
      <c r="B12" s="5" t="inlineStr">
        <is>
          <t>conversation context / coupon_model.php / max_coupon_rate.md / init_db.php を正本とする現行方針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8" customWidth="1" min="3" max="3"/>
    <col width="28" customWidth="1" min="4" max="4"/>
    <col width="10" customWidth="1" min="5" max="5"/>
    <col width="3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01_仕様変更一覧</t>
        </is>
      </c>
    </row>
    <row r="2">
      <c r="A2" s="2" t="inlineStr">
        <is>
          <t>旧認識と最新確定の差分を一覧化。改修着手前の認識合わせ用。</t>
        </is>
      </c>
    </row>
    <row r="3"/>
    <row r="4">
      <c r="A4" s="3" t="inlineStr">
        <is>
          <t>論点</t>
        </is>
      </c>
      <c r="B4" s="3" t="inlineStr">
        <is>
          <t>旧仕様/旧認識</t>
        </is>
      </c>
      <c r="C4" s="3" t="inlineStr">
        <is>
          <t>最新仕様（確定）</t>
        </is>
      </c>
      <c r="D4" s="3" t="inlineStr">
        <is>
          <t>影響範囲</t>
        </is>
      </c>
      <c r="E4" s="3" t="inlineStr">
        <is>
          <t>優先度</t>
        </is>
      </c>
      <c r="F4" s="3" t="inlineStr">
        <is>
          <t>補足</t>
        </is>
      </c>
    </row>
    <row r="5">
      <c r="A5" s="4" t="inlineStr">
        <is>
          <t>割引率の確定タイミング</t>
        </is>
      </c>
      <c r="B5" s="4" t="inlineStr">
        <is>
          <t>発行時固定 / 取得時確定の記述が混在</t>
        </is>
      </c>
      <c r="C5" s="4" t="inlineStr">
        <is>
          <t>未使用中は日ごとに変動しうる。最終適用は使用時点で確定する。</t>
        </is>
      </c>
      <c r="D5" s="4" t="inlineStr">
        <is>
          <t>API, DB, 管理画面, README</t>
        </is>
      </c>
      <c r="E5" s="4" t="inlineStr">
        <is>
          <t>最優先</t>
        </is>
      </c>
      <c r="F5" s="4" t="inlineStr">
        <is>
          <t>used_discount_rate が会計・監査・表示上の最終値</t>
        </is>
      </c>
    </row>
    <row r="6">
      <c r="A6" s="5" t="inlineStr">
        <is>
          <t>公開終了後の未使用クーポン</t>
        </is>
      </c>
      <c r="B6" s="5" t="inlineStr">
        <is>
          <t>曖昧</t>
        </is>
      </c>
      <c r="C6" s="5" t="inlineStr">
        <is>
          <t>使用不可。業務エラーを返す。</t>
        </is>
      </c>
      <c r="D6" s="5" t="inlineStr">
        <is>
          <t>coupon_use.php, front, エラー設計</t>
        </is>
      </c>
      <c r="E6" s="5" t="inlineStr">
        <is>
          <t>最優先</t>
        </is>
      </c>
      <c r="F6" s="5" t="inlineStr">
        <is>
          <t>期限切れでも「持っているから使える」にはしない</t>
        </is>
      </c>
    </row>
    <row r="7">
      <c r="A7" s="4" t="inlineStr">
        <is>
          <t>decay_interval_minutes</t>
        </is>
      </c>
      <c r="B7" s="4" t="inlineStr">
        <is>
          <t>旧減衰設計の名残</t>
        </is>
      </c>
      <c r="C7" s="4" t="inlineStr">
        <is>
          <t>全面廃止。DB・コード・UI・資料から痕跡も削除。</t>
        </is>
      </c>
      <c r="D7" s="4" t="inlineStr">
        <is>
          <t>schema.sql, init_db, coupon_edit, README</t>
        </is>
      </c>
      <c r="E7" s="4" t="inlineStr">
        <is>
          <t>最優先</t>
        </is>
      </c>
      <c r="F7" s="4" t="inlineStr">
        <is>
          <t>日次運用に統一</t>
        </is>
      </c>
    </row>
    <row r="8">
      <c r="A8" s="5" t="inlineStr">
        <is>
          <t>current_discount_rate</t>
        </is>
      </c>
      <c r="B8" s="5" t="inlineStr">
        <is>
          <t>保存値か計算値か曖昧</t>
        </is>
      </c>
      <c r="C8" s="5" t="inlineStr">
        <is>
          <t>保存値ではなく、日別レート表から当日値を取得する概念に統一。</t>
        </is>
      </c>
      <c r="D8" s="5" t="inlineStr">
        <is>
          <t>coupon_current/get, front</t>
        </is>
      </c>
      <c r="E8" s="5" t="inlineStr">
        <is>
          <t>高</t>
        </is>
      </c>
      <c r="F8" s="5" t="inlineStr">
        <is>
          <t>coupon_plan_daily_rates 参照を原則にする</t>
        </is>
      </c>
    </row>
    <row r="9">
      <c r="A9" s="4" t="inlineStr">
        <is>
          <t>issued_discount_rate</t>
        </is>
      </c>
      <c r="B9" s="4" t="inlineStr">
        <is>
          <t>主役の確定率として扱う記述あり</t>
        </is>
      </c>
      <c r="C9" s="4" t="inlineStr">
        <is>
          <t>発行時点の基準割引率の記録値。比較・履歴用。</t>
        </is>
      </c>
      <c r="D9" s="4" t="inlineStr">
        <is>
          <t>coupons, coupon_issue/get</t>
        </is>
      </c>
      <c r="E9" s="4" t="inlineStr">
        <is>
          <t>高</t>
        </is>
      </c>
      <c r="F9" s="4" t="inlineStr">
        <is>
          <t>名称は維持、意味だけ明確化</t>
        </is>
      </c>
    </row>
    <row r="10">
      <c r="A10" s="5" t="inlineStr">
        <is>
          <t>used_discount_rate</t>
        </is>
      </c>
      <c r="B10" s="5" t="inlineStr">
        <is>
          <t>issued と同一扱いの場面あり</t>
        </is>
      </c>
      <c r="C10" s="5" t="inlineStr">
        <is>
          <t>使用時点の確定適用率。</t>
        </is>
      </c>
      <c r="D10" s="5" t="inlineStr">
        <is>
          <t>coupon_use/get, usage_logs</t>
        </is>
      </c>
      <c r="E10" s="5" t="inlineStr">
        <is>
          <t>高</t>
        </is>
      </c>
      <c r="F10" s="5" t="inlineStr">
        <is>
          <t>最終適用率</t>
        </is>
      </c>
    </row>
    <row r="11">
      <c r="A11" s="4" t="inlineStr">
        <is>
          <t>状態判定</t>
        </is>
      </c>
      <c r="B11" s="4" t="inlineStr">
        <is>
          <t>is_active だけで判断する傾向</t>
        </is>
      </c>
      <c r="C11" s="4" t="inlineStr">
        <is>
          <t>NOW が start_at〜end_at に入っているかで判定。</t>
        </is>
      </c>
      <c r="D11" s="4" t="inlineStr">
        <is>
          <t>coupon_logic, dashboard</t>
        </is>
      </c>
      <c r="E11" s="4" t="inlineStr">
        <is>
          <t>最優先</t>
        </is>
      </c>
      <c r="F11" s="4" t="inlineStr">
        <is>
          <t>表示対象と混同しない</t>
        </is>
      </c>
    </row>
    <row r="12">
      <c r="A12" s="5" t="inlineStr">
        <is>
          <t>表示対象選択</t>
        </is>
      </c>
      <c r="B12" s="5" t="inlineStr">
        <is>
          <t>状態と未分離</t>
        </is>
      </c>
      <c r="C12" s="5" t="inlineStr">
        <is>
          <t>dashboard で front に出す plan を選択。時間外 plan は選択不可または無効表示。</t>
        </is>
      </c>
      <c r="D12" s="5" t="inlineStr">
        <is>
          <t>dashboard, front, storage/db</t>
        </is>
      </c>
      <c r="E12" s="5" t="inlineStr">
        <is>
          <t>高</t>
        </is>
      </c>
      <c r="F12" s="5" t="inlineStr">
        <is>
          <t>一時的には display_target.json でも可</t>
        </is>
      </c>
    </row>
    <row r="13">
      <c r="A13" s="4" t="inlineStr">
        <is>
          <t>割引率生成</t>
        </is>
      </c>
      <c r="B13" s="4" t="inlineStr">
        <is>
          <t>直線減衰寄り</t>
        </is>
      </c>
      <c r="C13" s="4" t="inlineStr">
        <is>
          <t>coupon_model.php の最大粗利益カーブを原本に日別自動生成。</t>
        </is>
      </c>
      <c r="D13" s="4" t="inlineStr">
        <is>
          <t>管理画面, model, README</t>
        </is>
      </c>
      <c r="E13" s="4" t="inlineStr">
        <is>
          <t>最優先</t>
        </is>
      </c>
      <c r="F13" s="4" t="inlineStr">
        <is>
          <t>後で手修正可能</t>
        </is>
      </c>
    </row>
    <row r="14">
      <c r="A14" s="5" t="inlineStr">
        <is>
          <t>JSON名残</t>
        </is>
      </c>
      <c r="B14" s="5" t="inlineStr">
        <is>
          <t>旧ストレージが残る</t>
        </is>
      </c>
      <c r="C14" s="5" t="inlineStr">
        <is>
          <t>DB中心へ寄せる。JSON は暫定用途以外を削減。</t>
        </is>
      </c>
      <c r="D14" s="5" t="inlineStr">
        <is>
          <t>functions, storage, docs</t>
        </is>
      </c>
      <c r="E14" s="5" t="inlineStr">
        <is>
          <t>中</t>
        </is>
      </c>
      <c r="F14" s="5" t="inlineStr">
        <is>
          <t>display target 以外は極力 DB に寄せる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20" customWidth="1" min="4" max="4"/>
    <col width="26" customWidth="1" min="5" max="5"/>
    <col width="2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02_API_用語定義</t>
        </is>
      </c>
    </row>
    <row r="2">
      <c r="A2" s="2" t="inlineStr">
        <is>
          <t>用語の意味と API での扱いを固定する。エラー形式は {ok:false, error:{code,message}} に統一する。</t>
        </is>
      </c>
    </row>
    <row r="3"/>
    <row r="4">
      <c r="A4" s="3" t="inlineStr">
        <is>
          <t>区分</t>
        </is>
      </c>
      <c r="B4" s="3" t="inlineStr">
        <is>
          <t>名前</t>
        </is>
      </c>
      <c r="C4" s="3" t="inlineStr">
        <is>
          <t>定義</t>
        </is>
      </c>
      <c r="D4" s="3" t="inlineStr">
        <is>
          <t>保存場所</t>
        </is>
      </c>
      <c r="E4" s="3" t="inlineStr">
        <is>
          <t>主な返却/保存先</t>
        </is>
      </c>
      <c r="F4" s="3" t="inlineStr">
        <is>
          <t>禁止・注意</t>
        </is>
      </c>
      <c r="G4" s="3" t="inlineStr">
        <is>
          <t>備考</t>
        </is>
      </c>
    </row>
    <row r="5">
      <c r="A5" s="4" t="inlineStr">
        <is>
          <t>用語</t>
        </is>
      </c>
      <c r="B5" s="4" t="inlineStr">
        <is>
          <t>issued_discount_rate</t>
        </is>
      </c>
      <c r="C5" s="4" t="inlineStr">
        <is>
          <t>クーポン取得時点の基準割引率の記録値。比較・履歴用。最終適用率ではない。</t>
        </is>
      </c>
      <c r="D5" s="4" t="inlineStr">
        <is>
          <t>coupons</t>
        </is>
      </c>
      <c r="E5" s="4" t="inlineStr">
        <is>
          <t>coupon_issue / coupon_get</t>
        </is>
      </c>
      <c r="F5" s="4" t="inlineStr">
        <is>
          <t>固定率として説明しない</t>
        </is>
      </c>
      <c r="G5" s="4" t="inlineStr">
        <is>
          <t>必要なら UI では「取得時参考率」と表現</t>
        </is>
      </c>
    </row>
    <row r="6">
      <c r="A6" s="5" t="inlineStr">
        <is>
          <t>用語</t>
        </is>
      </c>
      <c r="B6" s="5" t="inlineStr">
        <is>
          <t>current_discount_rate</t>
        </is>
      </c>
      <c r="C6" s="5" t="inlineStr">
        <is>
          <t>当日の日別確定割引率。未使用クーポンの現在表示値。</t>
        </is>
      </c>
      <c r="D6" s="5" t="inlineStr">
        <is>
          <t>保存しない（原則）/ daily_rates 参照</t>
        </is>
      </c>
      <c r="E6" s="5" t="inlineStr">
        <is>
          <t>coupon_current / coupon_get</t>
        </is>
      </c>
      <c r="F6" s="5" t="inlineStr">
        <is>
          <t>DB保存の主値と誤認させない</t>
        </is>
      </c>
      <c r="G6" s="5" t="inlineStr">
        <is>
          <t>当日再参照で変わりうる</t>
        </is>
      </c>
    </row>
    <row r="7">
      <c r="A7" s="4" t="inlineStr">
        <is>
          <t>用語</t>
        </is>
      </c>
      <c r="B7" s="4" t="inlineStr">
        <is>
          <t>used_discount_rate</t>
        </is>
      </c>
      <c r="C7" s="4" t="inlineStr">
        <is>
          <t>クーポン使用時点で実際に確定した割引率。</t>
        </is>
      </c>
      <c r="D7" s="4" t="inlineStr">
        <is>
          <t>coupons, usage_logs</t>
        </is>
      </c>
      <c r="E7" s="4" t="inlineStr">
        <is>
          <t>coupon_use / coupon_get</t>
        </is>
      </c>
      <c r="F7" s="4" t="inlineStr">
        <is>
          <t>issued と同一前提にしない</t>
        </is>
      </c>
      <c r="G7" s="4" t="inlineStr">
        <is>
          <t>最終適用率</t>
        </is>
      </c>
    </row>
    <row r="8">
      <c r="A8" s="5" t="inlineStr">
        <is>
          <t>API</t>
        </is>
      </c>
      <c r="B8" s="5" t="inlineStr">
        <is>
          <t>GET /api/check_health.php</t>
        </is>
      </c>
      <c r="C8" s="5" t="inlineStr">
        <is>
          <t>DB疎通とアプリ基本疎通確認。</t>
        </is>
      </c>
      <c r="D8" s="5" t="inlineStr">
        <is>
          <t>-</t>
        </is>
      </c>
      <c r="E8" s="5" t="inlineStr">
        <is>
          <t>ok, message, db_time</t>
        </is>
      </c>
      <c r="F8" s="5" t="inlineStr">
        <is>
          <t>業務ロジックを載せない</t>
        </is>
      </c>
      <c r="G8" s="5" t="inlineStr">
        <is>
          <t>Docker/Render どちらでも入口確認に使う</t>
        </is>
      </c>
    </row>
    <row r="9">
      <c r="A9" s="4" t="inlineStr">
        <is>
          <t>API</t>
        </is>
      </c>
      <c r="B9" s="4" t="inlineStr">
        <is>
          <t>GET /api/coupon_current.php</t>
        </is>
      </c>
      <c r="C9" s="4" t="inlineStr">
        <is>
          <t>現在新規取得した場合の表示率・発行可否を返す。</t>
        </is>
      </c>
      <c r="D9" s="4" t="inlineStr">
        <is>
          <t>daily_rates / plans</t>
        </is>
      </c>
      <c r="E9" s="4" t="inlineStr">
        <is>
          <t>current_discount_rate, is_issuable, plan情報</t>
        </is>
      </c>
      <c r="F9" s="4" t="inlineStr">
        <is>
          <t>「この率で確定」と言わない</t>
        </is>
      </c>
      <c r="G9" s="4" t="inlineStr">
        <is>
          <t>当日値のみ</t>
        </is>
      </c>
    </row>
    <row r="10">
      <c r="A10" s="5" t="inlineStr">
        <is>
          <t>API</t>
        </is>
      </c>
      <c r="B10" s="5" t="inlineStr">
        <is>
          <t>POST /api/coupon_issue.php</t>
        </is>
      </c>
      <c r="C10" s="5" t="inlineStr">
        <is>
          <t>クーポン発行。coupon_code と issued_discount_rate を保存。</t>
        </is>
      </c>
      <c r="D10" s="5" t="inlineStr">
        <is>
          <t>coupons</t>
        </is>
      </c>
      <c r="E10" s="5" t="inlineStr">
        <is>
          <t>coupon_code, issued_discount_rate</t>
        </is>
      </c>
      <c r="F10" s="5" t="inlineStr">
        <is>
          <t>発行時点で最終適用確定にしない</t>
        </is>
      </c>
      <c r="G10" s="5" t="inlineStr">
        <is>
          <t>発行時の参考 current を返すのは可</t>
        </is>
      </c>
    </row>
    <row r="11">
      <c r="A11" s="4" t="inlineStr">
        <is>
          <t>API</t>
        </is>
      </c>
      <c r="B11" s="4" t="inlineStr">
        <is>
          <t>GET /api/coupon_get.php</t>
        </is>
      </c>
      <c r="C11" s="4" t="inlineStr">
        <is>
          <t>発行済クーポンの状態取得。未使用なら issued/current、使用済なら used を返す。</t>
        </is>
      </c>
      <c r="D11" s="4" t="inlineStr">
        <is>
          <t>coupons / daily_rates</t>
        </is>
      </c>
      <c r="E11" s="4" t="inlineStr">
        <is>
          <t>coupon status</t>
        </is>
      </c>
      <c r="F11" s="4" t="inlineStr">
        <is>
          <t>未使用時に固定率表示へ寄せすぎない</t>
        </is>
      </c>
      <c r="G11" s="4" t="inlineStr">
        <is>
          <t>表示ロジックの中心</t>
        </is>
      </c>
    </row>
    <row r="12">
      <c r="A12" s="5" t="inlineStr">
        <is>
          <t>API</t>
        </is>
      </c>
      <c r="B12" s="5" t="inlineStr">
        <is>
          <t>POST /api/coupon_use.php</t>
        </is>
      </c>
      <c r="C12" s="5" t="inlineStr">
        <is>
          <t>クーポン使用処理。使用時点の割引率を確定し保存。</t>
        </is>
      </c>
      <c r="D12" s="5" t="inlineStr">
        <is>
          <t>coupons / usage_logs</t>
        </is>
      </c>
      <c r="E12" s="5" t="inlineStr">
        <is>
          <t>used_discount_rate, used_at</t>
        </is>
      </c>
      <c r="F12" s="5" t="inlineStr">
        <is>
          <t>公開終了後は使用不可</t>
        </is>
      </c>
      <c r="G12" s="5" t="inlineStr">
        <is>
          <t>最も重要な業務API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8" customWidth="1" min="4" max="4"/>
    <col width="12" customWidth="1" min="5" max="5"/>
    <col width="28" customWidth="1" min="6" max="6"/>
    <col width="28" customWidth="1" min="7" max="7"/>
    <col width="28" customWidth="1" min="8" max="8"/>
    <col width="22" customWidth="1" min="9" max="9"/>
    <col width="13" customWidth="1" min="10" max="10"/>
  </cols>
  <sheetData>
    <row r="1">
      <c r="A1" s="1" t="inlineStr">
        <is>
          <t>03_DB仕様</t>
        </is>
      </c>
    </row>
    <row r="2">
      <c r="A2" s="2" t="inlineStr">
        <is>
          <t>列レベルで保持/追加/削除を整理。scripts/init_db.php を正として、schema.sql も同内容へそろえる。</t>
        </is>
      </c>
    </row>
    <row r="3"/>
    <row r="4">
      <c r="A4" s="3" t="inlineStr">
        <is>
          <t>テーブル</t>
        </is>
      </c>
      <c r="B4" s="3" t="inlineStr">
        <is>
          <t>カラム</t>
        </is>
      </c>
      <c r="C4" s="3" t="inlineStr">
        <is>
          <t>型(想定)</t>
        </is>
      </c>
      <c r="D4" s="3" t="inlineStr">
        <is>
          <t>必須</t>
        </is>
      </c>
      <c r="E4" s="3" t="inlineStr">
        <is>
          <t>区分</t>
        </is>
      </c>
      <c r="F4" s="3" t="inlineStr">
        <is>
          <t>用途/意味</t>
        </is>
      </c>
      <c r="G4" s="3" t="inlineStr">
        <is>
          <t>最新方針</t>
        </is>
      </c>
      <c r="H4" s="3" t="inlineStr">
        <is>
          <t>主な参照PHP</t>
        </is>
      </c>
      <c r="I4" s="3" t="inlineStr">
        <is>
          <t>備考</t>
        </is>
      </c>
    </row>
    <row r="5">
      <c r="A5" s="4" t="inlineStr">
        <is>
          <t>coupon_plans</t>
        </is>
      </c>
      <c r="B5" s="4" t="inlineStr">
        <is>
          <t>id</t>
        </is>
      </c>
      <c r="C5" s="4" t="inlineStr">
        <is>
          <t>text / varchar</t>
        </is>
      </c>
      <c r="D5" s="4" t="inlineStr">
        <is>
          <t>必須</t>
        </is>
      </c>
      <c r="E5" s="4" t="inlineStr">
        <is>
          <t>保持</t>
        </is>
      </c>
      <c r="F5" s="4" t="inlineStr">
        <is>
          <t>プラン識別子</t>
        </is>
      </c>
      <c r="G5" s="4" t="inlineStr">
        <is>
          <t>plan_xxxx を継続</t>
        </is>
      </c>
      <c r="H5" s="4" t="inlineStr">
        <is>
          <t>coupon_logic, dashboard, edit, current</t>
        </is>
      </c>
      <c r="I5" s="4" t="inlineStr">
        <is>
          <t>主キー</t>
        </is>
      </c>
    </row>
    <row r="6">
      <c r="A6" s="5" t="inlineStr">
        <is>
          <t>coupon_plans</t>
        </is>
      </c>
      <c r="B6" s="5" t="inlineStr">
        <is>
          <t>title</t>
        </is>
      </c>
      <c r="C6" s="5" t="inlineStr">
        <is>
          <t>text</t>
        </is>
      </c>
      <c r="D6" s="5" t="inlineStr">
        <is>
          <t>必須</t>
        </is>
      </c>
      <c r="E6" s="5" t="inlineStr">
        <is>
          <t>保持</t>
        </is>
      </c>
      <c r="F6" s="5" t="inlineStr">
        <is>
          <t>管理名/表示名</t>
        </is>
      </c>
      <c r="G6" s="5" t="inlineStr">
        <is>
          <t>継続</t>
        </is>
      </c>
      <c r="H6" s="5" t="inlineStr">
        <is>
          <t>dashboard, edit, front</t>
        </is>
      </c>
      <c r="I6" s="5" t="inlineStr"/>
    </row>
    <row r="7">
      <c r="A7" s="4" t="inlineStr">
        <is>
          <t>coupon_plans</t>
        </is>
      </c>
      <c r="B7" s="4" t="inlineStr">
        <is>
          <t>description</t>
        </is>
      </c>
      <c r="C7" s="4" t="inlineStr">
        <is>
          <t>text</t>
        </is>
      </c>
      <c r="D7" s="4" t="inlineStr">
        <is>
          <t>任意</t>
        </is>
      </c>
      <c r="E7" s="4" t="inlineStr">
        <is>
          <t>保持</t>
        </is>
      </c>
      <c r="F7" s="4" t="inlineStr">
        <is>
          <t>説明文</t>
        </is>
      </c>
      <c r="G7" s="4" t="inlineStr">
        <is>
          <t>継続</t>
        </is>
      </c>
      <c r="H7" s="4" t="inlineStr">
        <is>
          <t>edit, front</t>
        </is>
      </c>
      <c r="I7" s="4" t="inlineStr"/>
    </row>
    <row r="8">
      <c r="A8" s="5" t="inlineStr">
        <is>
          <t>coupon_plans</t>
        </is>
      </c>
      <c r="B8" s="5" t="inlineStr">
        <is>
          <t>product_name</t>
        </is>
      </c>
      <c r="C8" s="5" t="inlineStr">
        <is>
          <t>text</t>
        </is>
      </c>
      <c r="D8" s="5" t="inlineStr">
        <is>
          <t>任意</t>
        </is>
      </c>
      <c r="E8" s="5" t="inlineStr">
        <is>
          <t>保持</t>
        </is>
      </c>
      <c r="F8" s="5" t="inlineStr">
        <is>
          <t>対象商品名</t>
        </is>
      </c>
      <c r="G8" s="5" t="inlineStr">
        <is>
          <t>継続</t>
        </is>
      </c>
      <c r="H8" s="5" t="inlineStr">
        <is>
          <t>dashboard, front</t>
        </is>
      </c>
      <c r="I8" s="5" t="inlineStr"/>
    </row>
    <row r="9">
      <c r="A9" s="4" t="inlineStr">
        <is>
          <t>coupon_plans</t>
        </is>
      </c>
      <c r="B9" s="4" t="inlineStr">
        <is>
          <t>start_at</t>
        </is>
      </c>
      <c r="C9" s="4" t="inlineStr">
        <is>
          <t>timestamptz</t>
        </is>
      </c>
      <c r="D9" s="4" t="inlineStr">
        <is>
          <t>必須</t>
        </is>
      </c>
      <c r="E9" s="4" t="inlineStr">
        <is>
          <t>保持</t>
        </is>
      </c>
      <c r="F9" s="4" t="inlineStr">
        <is>
          <t>公開開始日時</t>
        </is>
      </c>
      <c r="G9" s="4" t="inlineStr">
        <is>
          <t>時間判定の主軸</t>
        </is>
      </c>
      <c r="H9" s="4" t="inlineStr">
        <is>
          <t>coupon_logic, dashboard, current, use</t>
        </is>
      </c>
      <c r="I9" s="4" t="inlineStr">
        <is>
          <t>NOW 比較に使用</t>
        </is>
      </c>
    </row>
    <row r="10">
      <c r="A10" s="5" t="inlineStr">
        <is>
          <t>coupon_plans</t>
        </is>
      </c>
      <c r="B10" s="5" t="inlineStr">
        <is>
          <t>end_at</t>
        </is>
      </c>
      <c r="C10" s="5" t="inlineStr">
        <is>
          <t>timestamptz</t>
        </is>
      </c>
      <c r="D10" s="5" t="inlineStr">
        <is>
          <t>必須</t>
        </is>
      </c>
      <c r="E10" s="5" t="inlineStr">
        <is>
          <t>保持</t>
        </is>
      </c>
      <c r="F10" s="5" t="inlineStr">
        <is>
          <t>公開終了日時</t>
        </is>
      </c>
      <c r="G10" s="5" t="inlineStr">
        <is>
          <t>時間判定の主軸</t>
        </is>
      </c>
      <c r="H10" s="5" t="inlineStr">
        <is>
          <t>coupon_logic, dashboard, current, use</t>
        </is>
      </c>
      <c r="I10" s="5" t="inlineStr">
        <is>
          <t>NOW 比較に使用</t>
        </is>
      </c>
    </row>
    <row r="11">
      <c r="A11" s="4" t="inlineStr">
        <is>
          <t>coupon_plans</t>
        </is>
      </c>
      <c r="B11" s="4" t="inlineStr">
        <is>
          <t>initial_discount_rate</t>
        </is>
      </c>
      <c r="C11" s="4" t="inlineStr">
        <is>
          <t>numeric(5,4)</t>
        </is>
      </c>
      <c r="D11" s="4" t="inlineStr">
        <is>
          <t>必須</t>
        </is>
      </c>
      <c r="E11" s="4" t="inlineStr">
        <is>
          <t>保持</t>
        </is>
      </c>
      <c r="F11" s="4" t="inlineStr">
        <is>
          <t>開始時基準率</t>
        </is>
      </c>
      <c r="G11" s="4" t="inlineStr">
        <is>
          <t>モデル/生成入力</t>
        </is>
      </c>
      <c r="H11" s="4" t="inlineStr">
        <is>
          <t>model, edit</t>
        </is>
      </c>
      <c r="I11" s="4" t="inlineStr">
        <is>
          <t>例 0.2000</t>
        </is>
      </c>
    </row>
    <row r="12">
      <c r="A12" s="5" t="inlineStr">
        <is>
          <t>coupon_plans</t>
        </is>
      </c>
      <c r="B12" s="5" t="inlineStr">
        <is>
          <t>min_discount_rate</t>
        </is>
      </c>
      <c r="C12" s="5" t="inlineStr">
        <is>
          <t>numeric(5,4)</t>
        </is>
      </c>
      <c r="D12" s="5" t="inlineStr">
        <is>
          <t>必須</t>
        </is>
      </c>
      <c r="E12" s="5" t="inlineStr">
        <is>
          <t>保持</t>
        </is>
      </c>
      <c r="F12" s="5" t="inlineStr">
        <is>
          <t>下限率</t>
        </is>
      </c>
      <c r="G12" s="5" t="inlineStr">
        <is>
          <t>モデル/生成入力</t>
        </is>
      </c>
      <c r="H12" s="5" t="inlineStr">
        <is>
          <t>model, edit</t>
        </is>
      </c>
      <c r="I12" s="5" t="inlineStr">
        <is>
          <t>例 0.1000</t>
        </is>
      </c>
    </row>
    <row r="13">
      <c r="A13" s="4" t="inlineStr">
        <is>
          <t>coupon_plans</t>
        </is>
      </c>
      <c r="B13" s="4" t="inlineStr">
        <is>
          <t>discount_mode</t>
        </is>
      </c>
      <c r="C13" s="4" t="inlineStr">
        <is>
          <t>text</t>
        </is>
      </c>
      <c r="D13" s="4" t="inlineStr">
        <is>
          <t>任意</t>
        </is>
      </c>
      <c r="E13" s="4" t="inlineStr">
        <is>
          <t>保持</t>
        </is>
      </c>
      <c r="F13" s="4" t="inlineStr">
        <is>
          <t>割引モード</t>
        </is>
      </c>
      <c r="G13" s="4" t="inlineStr">
        <is>
          <t>日次管理前提で整理</t>
        </is>
      </c>
      <c r="H13" s="4" t="inlineStr">
        <is>
          <t>logic, edit</t>
        </is>
      </c>
      <c r="I13" s="4" t="inlineStr">
        <is>
          <t>将来拡張可</t>
        </is>
      </c>
    </row>
    <row r="14">
      <c r="A14" s="5" t="inlineStr">
        <is>
          <t>coupon_plans</t>
        </is>
      </c>
      <c r="B14" s="5" t="inlineStr">
        <is>
          <t>decay_type</t>
        </is>
      </c>
      <c r="C14" s="5" t="inlineStr">
        <is>
          <t>text</t>
        </is>
      </c>
      <c r="D14" s="5" t="inlineStr">
        <is>
          <t>任意</t>
        </is>
      </c>
      <c r="E14" s="5" t="inlineStr">
        <is>
          <t>保持</t>
        </is>
      </c>
      <c r="F14" s="5" t="inlineStr">
        <is>
          <t>減衰種別</t>
        </is>
      </c>
      <c r="G14" s="5" t="inlineStr">
        <is>
          <t>モデル表現の名残としては可</t>
        </is>
      </c>
      <c r="H14" s="5" t="inlineStr">
        <is>
          <t>logic, edit</t>
        </is>
      </c>
      <c r="I14" s="5" t="inlineStr">
        <is>
          <t>ただし minutes 依存は禁止</t>
        </is>
      </c>
    </row>
    <row r="15">
      <c r="A15" s="4" t="inlineStr">
        <is>
          <t>coupon_plans</t>
        </is>
      </c>
      <c r="B15" s="4" t="inlineStr">
        <is>
          <t>decay_interval_minutes</t>
        </is>
      </c>
      <c r="C15" s="4" t="inlineStr">
        <is>
          <t>integer</t>
        </is>
      </c>
      <c r="D15" s="4" t="inlineStr">
        <is>
          <t>-</t>
        </is>
      </c>
      <c r="E15" s="4" t="inlineStr">
        <is>
          <t>削除</t>
        </is>
      </c>
      <c r="F15" s="4" t="inlineStr">
        <is>
          <t>旧 minutes 減衰設定</t>
        </is>
      </c>
      <c r="G15" s="4" t="inlineStr">
        <is>
          <t>全面廃止</t>
        </is>
      </c>
      <c r="H15" s="4" t="inlineStr">
        <is>
          <t>schema.sql, init_db, edit</t>
        </is>
      </c>
      <c r="I15" s="4" t="inlineStr">
        <is>
          <t>痕跡も削除</t>
        </is>
      </c>
    </row>
    <row r="16">
      <c r="A16" s="5" t="inlineStr">
        <is>
          <t>coupon_plans</t>
        </is>
      </c>
      <c r="B16" s="5" t="inlineStr">
        <is>
          <t>is_active</t>
        </is>
      </c>
      <c r="C16" s="5" t="inlineStr">
        <is>
          <t>boolean</t>
        </is>
      </c>
      <c r="D16" s="5" t="inlineStr">
        <is>
          <t>必須</t>
        </is>
      </c>
      <c r="E16" s="5" t="inlineStr">
        <is>
          <t>保持(意味注意)</t>
        </is>
      </c>
      <c r="F16" s="5" t="inlineStr">
        <is>
          <t>管理用の有効フラグ</t>
        </is>
      </c>
      <c r="G16" s="5" t="inlineStr">
        <is>
          <t>時間判定の代替にしない</t>
        </is>
      </c>
      <c r="H16" s="5" t="inlineStr">
        <is>
          <t>dashboard, logic</t>
        </is>
      </c>
      <c r="I16" s="5" t="inlineStr">
        <is>
          <t>停止用途には可</t>
        </is>
      </c>
    </row>
    <row r="17">
      <c r="A17" s="4" t="inlineStr">
        <is>
          <t>coupon_plans</t>
        </is>
      </c>
      <c r="B17" s="4" t="inlineStr">
        <is>
          <t>rules</t>
        </is>
      </c>
      <c r="C17" s="4" t="inlineStr">
        <is>
          <t>jsonb or text</t>
        </is>
      </c>
      <c r="D17" s="4" t="inlineStr">
        <is>
          <t>任意</t>
        </is>
      </c>
      <c r="E17" s="4" t="inlineStr">
        <is>
          <t>保持</t>
        </is>
      </c>
      <c r="F17" s="4" t="inlineStr">
        <is>
          <t>補足ルール</t>
        </is>
      </c>
      <c r="G17" s="4" t="inlineStr">
        <is>
          <t>構造は簡素に維持</t>
        </is>
      </c>
      <c r="H17" s="4" t="inlineStr">
        <is>
          <t>edit, front</t>
        </is>
      </c>
      <c r="I17" s="4" t="inlineStr">
        <is>
          <t>未整理なら text でも可</t>
        </is>
      </c>
    </row>
    <row r="18">
      <c r="A18" s="5" t="inlineStr">
        <is>
          <t>coupon_plans</t>
        </is>
      </c>
      <c r="B18" s="5" t="inlineStr">
        <is>
          <t>notes</t>
        </is>
      </c>
      <c r="C18" s="5" t="inlineStr">
        <is>
          <t>text</t>
        </is>
      </c>
      <c r="D18" s="5" t="inlineStr">
        <is>
          <t>任意</t>
        </is>
      </c>
      <c r="E18" s="5" t="inlineStr">
        <is>
          <t>保持</t>
        </is>
      </c>
      <c r="F18" s="5" t="inlineStr">
        <is>
          <t>管理メモ</t>
        </is>
      </c>
      <c r="G18" s="5" t="inlineStr">
        <is>
          <t>継続</t>
        </is>
      </c>
      <c r="H18" s="5" t="inlineStr">
        <is>
          <t>edit, dashboard</t>
        </is>
      </c>
      <c r="I18" s="5" t="inlineStr"/>
    </row>
    <row r="19">
      <c r="A19" s="4" t="inlineStr">
        <is>
          <t>coupon_plans</t>
        </is>
      </c>
      <c r="B19" s="4" t="inlineStr">
        <is>
          <t>created_at / updated_at</t>
        </is>
      </c>
      <c r="C19" s="4" t="inlineStr">
        <is>
          <t>timestamptz</t>
        </is>
      </c>
      <c r="D19" s="4" t="inlineStr">
        <is>
          <t>必須</t>
        </is>
      </c>
      <c r="E19" s="4" t="inlineStr">
        <is>
          <t>保持</t>
        </is>
      </c>
      <c r="F19" s="4" t="inlineStr">
        <is>
          <t>監査・更新管理</t>
        </is>
      </c>
      <c r="G19" s="4" t="inlineStr">
        <is>
          <t>継続</t>
        </is>
      </c>
      <c r="H19" s="4" t="inlineStr">
        <is>
          <t>全般</t>
        </is>
      </c>
      <c r="I19" s="4" t="inlineStr"/>
    </row>
    <row r="20">
      <c r="A20" s="5" t="inlineStr">
        <is>
          <t>coupon_plans</t>
        </is>
      </c>
      <c r="B20" s="5" t="inlineStr">
        <is>
          <t>unit_price</t>
        </is>
      </c>
      <c r="C20" s="5" t="inlineStr">
        <is>
          <t>numeric</t>
        </is>
      </c>
      <c r="D20" s="5" t="inlineStr">
        <is>
          <t>任意</t>
        </is>
      </c>
      <c r="E20" s="5" t="inlineStr">
        <is>
          <t>追加推奨</t>
        </is>
      </c>
      <c r="F20" s="5" t="inlineStr">
        <is>
          <t>商品単価</t>
        </is>
      </c>
      <c r="G20" s="5" t="inlineStr">
        <is>
          <t>粗利益モデル入力</t>
        </is>
      </c>
      <c r="H20" s="5" t="inlineStr">
        <is>
          <t>model, edit</t>
        </is>
      </c>
      <c r="I20" s="5" t="inlineStr">
        <is>
          <t>自動生成に使用</t>
        </is>
      </c>
    </row>
    <row r="21">
      <c r="A21" s="4" t="inlineStr">
        <is>
          <t>coupon_plans</t>
        </is>
      </c>
      <c r="B21" s="4" t="inlineStr">
        <is>
          <t>cost_rate</t>
        </is>
      </c>
      <c r="C21" s="4" t="inlineStr">
        <is>
          <t>numeric(5,4)</t>
        </is>
      </c>
      <c r="D21" s="4" t="inlineStr">
        <is>
          <t>任意</t>
        </is>
      </c>
      <c r="E21" s="4" t="inlineStr">
        <is>
          <t>追加推奨</t>
        </is>
      </c>
      <c r="F21" s="4" t="inlineStr">
        <is>
          <t>原価率</t>
        </is>
      </c>
      <c r="G21" s="4" t="inlineStr">
        <is>
          <t>粗利益モデル入力</t>
        </is>
      </c>
      <c r="H21" s="4" t="inlineStr">
        <is>
          <t>model, edit</t>
        </is>
      </c>
      <c r="I21" s="4" t="inlineStr">
        <is>
          <t>0.35 等</t>
        </is>
      </c>
    </row>
    <row r="22">
      <c r="A22" s="5" t="inlineStr">
        <is>
          <t>coupon_plans</t>
        </is>
      </c>
      <c r="B22" s="5" t="inlineStr">
        <is>
          <t>viewers</t>
        </is>
      </c>
      <c r="C22" s="5" t="inlineStr">
        <is>
          <t>integer</t>
        </is>
      </c>
      <c r="D22" s="5" t="inlineStr">
        <is>
          <t>任意</t>
        </is>
      </c>
      <c r="E22" s="5" t="inlineStr">
        <is>
          <t>追加推奨</t>
        </is>
      </c>
      <c r="F22" s="5" t="inlineStr">
        <is>
          <t>想定閲覧数</t>
        </is>
      </c>
      <c r="G22" s="5" t="inlineStr">
        <is>
          <t>粗利益モデル入力</t>
        </is>
      </c>
      <c r="H22" s="5" t="inlineStr">
        <is>
          <t>model, edit</t>
        </is>
      </c>
      <c r="I22" s="5" t="inlineStr">
        <is>
          <t>1000 等</t>
        </is>
      </c>
    </row>
    <row r="23">
      <c r="A23" s="4" t="inlineStr">
        <is>
          <t>coupon_plan_daily_rates</t>
        </is>
      </c>
      <c r="B23" s="4" t="inlineStr">
        <is>
          <t>coupon_plan_id</t>
        </is>
      </c>
      <c r="C23" s="4" t="inlineStr">
        <is>
          <t>text</t>
        </is>
      </c>
      <c r="D23" s="4" t="inlineStr">
        <is>
          <t>必須</t>
        </is>
      </c>
      <c r="E23" s="4" t="inlineStr">
        <is>
          <t>追加</t>
        </is>
      </c>
      <c r="F23" s="4" t="inlineStr">
        <is>
          <t>対象プラン</t>
        </is>
      </c>
      <c r="G23" s="4" t="inlineStr">
        <is>
          <t>日別レートの親</t>
        </is>
      </c>
      <c r="H23" s="4" t="inlineStr">
        <is>
          <t>current, get, use, dashboard</t>
        </is>
      </c>
      <c r="I23" s="4" t="inlineStr">
        <is>
          <t>plans.id FK</t>
        </is>
      </c>
    </row>
    <row r="24">
      <c r="A24" s="5" t="inlineStr">
        <is>
          <t>coupon_plan_daily_rates</t>
        </is>
      </c>
      <c r="B24" s="5" t="inlineStr">
        <is>
          <t>target_date</t>
        </is>
      </c>
      <c r="C24" s="5" t="inlineStr">
        <is>
          <t>date</t>
        </is>
      </c>
      <c r="D24" s="5" t="inlineStr">
        <is>
          <t>必須</t>
        </is>
      </c>
      <c r="E24" s="5" t="inlineStr">
        <is>
          <t>追加</t>
        </is>
      </c>
      <c r="F24" s="5" t="inlineStr">
        <is>
          <t>適用日</t>
        </is>
      </c>
      <c r="G24" s="5" t="inlineStr">
        <is>
          <t>当日参照キー</t>
        </is>
      </c>
      <c r="H24" s="5" t="inlineStr">
        <is>
          <t>current, get, use</t>
        </is>
      </c>
      <c r="I24" s="5" t="inlineStr">
        <is>
          <t>1日1行を想定</t>
        </is>
      </c>
    </row>
    <row r="25">
      <c r="A25" s="4" t="inlineStr">
        <is>
          <t>coupon_plan_daily_rates</t>
        </is>
      </c>
      <c r="B25" s="4" t="inlineStr">
        <is>
          <t>discount_rate</t>
        </is>
      </c>
      <c r="C25" s="4" t="inlineStr">
        <is>
          <t>numeric(5,4)</t>
        </is>
      </c>
      <c r="D25" s="4" t="inlineStr">
        <is>
          <t>必須</t>
        </is>
      </c>
      <c r="E25" s="4" t="inlineStr">
        <is>
          <t>追加</t>
        </is>
      </c>
      <c r="F25" s="4" t="inlineStr">
        <is>
          <t>その日の確定表示率</t>
        </is>
      </c>
      <c r="G25" s="4" t="inlineStr">
        <is>
          <t>current_discount_rate の元</t>
        </is>
      </c>
      <c r="H25" s="4" t="inlineStr">
        <is>
          <t>current, get, use</t>
        </is>
      </c>
      <c r="I25" s="4" t="inlineStr">
        <is>
          <t>保存値</t>
        </is>
      </c>
    </row>
    <row r="26">
      <c r="A26" s="5" t="inlineStr">
        <is>
          <t>coupon_plan_daily_rates</t>
        </is>
      </c>
      <c r="B26" s="5" t="inlineStr">
        <is>
          <t>source_type</t>
        </is>
      </c>
      <c r="C26" s="5" t="inlineStr">
        <is>
          <t>text</t>
        </is>
      </c>
      <c r="D26" s="5" t="inlineStr">
        <is>
          <t>必須</t>
        </is>
      </c>
      <c r="E26" s="5" t="inlineStr">
        <is>
          <t>追加</t>
        </is>
      </c>
      <c r="F26" s="5" t="inlineStr">
        <is>
          <t>自動生成/手修正区分</t>
        </is>
      </c>
      <c r="G26" s="5" t="inlineStr">
        <is>
          <t>auto/manual 等</t>
        </is>
      </c>
      <c r="H26" s="5" t="inlineStr">
        <is>
          <t>dashboard, edit</t>
        </is>
      </c>
      <c r="I26" s="5" t="inlineStr">
        <is>
          <t>監査向け</t>
        </is>
      </c>
    </row>
    <row r="27">
      <c r="A27" s="4" t="inlineStr">
        <is>
          <t>coupon_plan_daily_rates</t>
        </is>
      </c>
      <c r="B27" s="4" t="inlineStr">
        <is>
          <t>is_manual_override</t>
        </is>
      </c>
      <c r="C27" s="4" t="inlineStr">
        <is>
          <t>boolean</t>
        </is>
      </c>
      <c r="D27" s="4" t="inlineStr">
        <is>
          <t>必須</t>
        </is>
      </c>
      <c r="E27" s="4" t="inlineStr">
        <is>
          <t>追加</t>
        </is>
      </c>
      <c r="F27" s="4" t="inlineStr">
        <is>
          <t>手修正済フラグ</t>
        </is>
      </c>
      <c r="G27" s="4" t="inlineStr">
        <is>
          <t>管理者調整判定</t>
        </is>
      </c>
      <c r="H27" s="4" t="inlineStr">
        <is>
          <t>dashboard, edit</t>
        </is>
      </c>
      <c r="I27" s="4" t="inlineStr"/>
    </row>
    <row r="28">
      <c r="A28" s="5" t="inlineStr">
        <is>
          <t>coupon_plan_daily_rates</t>
        </is>
      </c>
      <c r="B28" s="5" t="inlineStr">
        <is>
          <t>created_at / updated_at</t>
        </is>
      </c>
      <c r="C28" s="5" t="inlineStr">
        <is>
          <t>timestamptz</t>
        </is>
      </c>
      <c r="D28" s="5" t="inlineStr">
        <is>
          <t>必須</t>
        </is>
      </c>
      <c r="E28" s="5" t="inlineStr">
        <is>
          <t>追加</t>
        </is>
      </c>
      <c r="F28" s="5" t="inlineStr">
        <is>
          <t>監査用</t>
        </is>
      </c>
      <c r="G28" s="5" t="inlineStr">
        <is>
          <t>継続</t>
        </is>
      </c>
      <c r="H28" s="5" t="inlineStr">
        <is>
          <t>全般</t>
        </is>
      </c>
      <c r="I28" s="5" t="inlineStr"/>
    </row>
    <row r="29">
      <c r="A29" s="4" t="inlineStr">
        <is>
          <t>coupons</t>
        </is>
      </c>
      <c r="B29" s="4" t="inlineStr">
        <is>
          <t>coupon_code</t>
        </is>
      </c>
      <c r="C29" s="4" t="inlineStr">
        <is>
          <t>text</t>
        </is>
      </c>
      <c r="D29" s="4" t="inlineStr">
        <is>
          <t>必須</t>
        </is>
      </c>
      <c r="E29" s="4" t="inlineStr">
        <is>
          <t>保持</t>
        </is>
      </c>
      <c r="F29" s="4" t="inlineStr">
        <is>
          <t>クーポンコード</t>
        </is>
      </c>
      <c r="G29" s="4" t="inlineStr">
        <is>
          <t>継続</t>
        </is>
      </c>
      <c r="H29" s="4" t="inlineStr">
        <is>
          <t>issue, get, use</t>
        </is>
      </c>
      <c r="I29" s="4" t="inlineStr">
        <is>
          <t>一意制約推奨</t>
        </is>
      </c>
    </row>
    <row r="30">
      <c r="A30" s="5" t="inlineStr">
        <is>
          <t>coupons</t>
        </is>
      </c>
      <c r="B30" s="5" t="inlineStr">
        <is>
          <t>coupon_plan_id</t>
        </is>
      </c>
      <c r="C30" s="5" t="inlineStr">
        <is>
          <t>text</t>
        </is>
      </c>
      <c r="D30" s="5" t="inlineStr">
        <is>
          <t>必須</t>
        </is>
      </c>
      <c r="E30" s="5" t="inlineStr">
        <is>
          <t>保持</t>
        </is>
      </c>
      <c r="F30" s="5" t="inlineStr">
        <is>
          <t>親プラン</t>
        </is>
      </c>
      <c r="G30" s="5" t="inlineStr">
        <is>
          <t>継続</t>
        </is>
      </c>
      <c r="H30" s="5" t="inlineStr">
        <is>
          <t>issue, get, use</t>
        </is>
      </c>
      <c r="I30" s="5" t="inlineStr">
        <is>
          <t>FK</t>
        </is>
      </c>
    </row>
    <row r="31">
      <c r="A31" s="4" t="inlineStr">
        <is>
          <t>coupons</t>
        </is>
      </c>
      <c r="B31" s="4" t="inlineStr">
        <is>
          <t>issued_at</t>
        </is>
      </c>
      <c r="C31" s="4" t="inlineStr">
        <is>
          <t>timestamptz</t>
        </is>
      </c>
      <c r="D31" s="4" t="inlineStr">
        <is>
          <t>必須</t>
        </is>
      </c>
      <c r="E31" s="4" t="inlineStr">
        <is>
          <t>保持</t>
        </is>
      </c>
      <c r="F31" s="4" t="inlineStr">
        <is>
          <t>発行日時</t>
        </is>
      </c>
      <c r="G31" s="4" t="inlineStr">
        <is>
          <t>継続</t>
        </is>
      </c>
      <c r="H31" s="4" t="inlineStr">
        <is>
          <t>issue, get</t>
        </is>
      </c>
      <c r="I31" s="4" t="inlineStr"/>
    </row>
    <row r="32">
      <c r="A32" s="5" t="inlineStr">
        <is>
          <t>coupons</t>
        </is>
      </c>
      <c r="B32" s="5" t="inlineStr">
        <is>
          <t>issued_discount_rate</t>
        </is>
      </c>
      <c r="C32" s="5" t="inlineStr">
        <is>
          <t>numeric(5,4)</t>
        </is>
      </c>
      <c r="D32" s="5" t="inlineStr">
        <is>
          <t>必須</t>
        </is>
      </c>
      <c r="E32" s="5" t="inlineStr">
        <is>
          <t>保持(意味変更)</t>
        </is>
      </c>
      <c r="F32" s="5" t="inlineStr">
        <is>
          <t>発行時点の記録率</t>
        </is>
      </c>
      <c r="G32" s="5" t="inlineStr">
        <is>
          <t>比較/履歴用へ再定義</t>
        </is>
      </c>
      <c r="H32" s="5" t="inlineStr">
        <is>
          <t>issue, get</t>
        </is>
      </c>
      <c r="I32" s="5" t="inlineStr">
        <is>
          <t>最終適用率ではない</t>
        </is>
      </c>
    </row>
    <row r="33">
      <c r="A33" s="4" t="inlineStr">
        <is>
          <t>coupons</t>
        </is>
      </c>
      <c r="B33" s="4" t="inlineStr">
        <is>
          <t>used_at</t>
        </is>
      </c>
      <c r="C33" s="4" t="inlineStr">
        <is>
          <t>timestamptz</t>
        </is>
      </c>
      <c r="D33" s="4" t="inlineStr">
        <is>
          <t>任意</t>
        </is>
      </c>
      <c r="E33" s="4" t="inlineStr">
        <is>
          <t>保持</t>
        </is>
      </c>
      <c r="F33" s="4" t="inlineStr">
        <is>
          <t>使用日時</t>
        </is>
      </c>
      <c r="G33" s="4" t="inlineStr">
        <is>
          <t>継続</t>
        </is>
      </c>
      <c r="H33" s="4" t="inlineStr">
        <is>
          <t>use, get</t>
        </is>
      </c>
      <c r="I33" s="4" t="inlineStr">
        <is>
          <t>未使用なら NULL</t>
        </is>
      </c>
    </row>
    <row r="34">
      <c r="A34" s="5" t="inlineStr">
        <is>
          <t>coupons</t>
        </is>
      </c>
      <c r="B34" s="5" t="inlineStr">
        <is>
          <t>used_discount_rate</t>
        </is>
      </c>
      <c r="C34" s="5" t="inlineStr">
        <is>
          <t>numeric(5,4)</t>
        </is>
      </c>
      <c r="D34" s="5" t="inlineStr">
        <is>
          <t>任意</t>
        </is>
      </c>
      <c r="E34" s="5" t="inlineStr">
        <is>
          <t>保持</t>
        </is>
      </c>
      <c r="F34" s="5" t="inlineStr">
        <is>
          <t>使用時確定率</t>
        </is>
      </c>
      <c r="G34" s="5" t="inlineStr">
        <is>
          <t>最終適用率</t>
        </is>
      </c>
      <c r="H34" s="5" t="inlineStr">
        <is>
          <t>use, get</t>
        </is>
      </c>
      <c r="I34" s="5" t="inlineStr">
        <is>
          <t>監査・会計用</t>
        </is>
      </c>
    </row>
    <row r="35">
      <c r="A35" s="4" t="inlineStr">
        <is>
          <t>usage_logs</t>
        </is>
      </c>
      <c r="B35" s="4" t="inlineStr">
        <is>
          <t>coupon_code / coupon_plan_id</t>
        </is>
      </c>
      <c r="C35" s="4" t="inlineStr">
        <is>
          <t>text</t>
        </is>
      </c>
      <c r="D35" s="4" t="inlineStr">
        <is>
          <t>必須</t>
        </is>
      </c>
      <c r="E35" s="4" t="inlineStr">
        <is>
          <t>保持</t>
        </is>
      </c>
      <c r="F35" s="4" t="inlineStr">
        <is>
          <t>利用履歴キー</t>
        </is>
      </c>
      <c r="G35" s="4" t="inlineStr">
        <is>
          <t>継続</t>
        </is>
      </c>
      <c r="H35" s="4" t="inlineStr">
        <is>
          <t>use</t>
        </is>
      </c>
      <c r="I35" s="4" t="inlineStr"/>
    </row>
    <row r="36">
      <c r="A36" s="5" t="inlineStr">
        <is>
          <t>usage_logs</t>
        </is>
      </c>
      <c r="B36" s="5" t="inlineStr">
        <is>
          <t>used_discount_rate</t>
        </is>
      </c>
      <c r="C36" s="5" t="inlineStr">
        <is>
          <t>numeric(5,4)</t>
        </is>
      </c>
      <c r="D36" s="5" t="inlineStr">
        <is>
          <t>必須</t>
        </is>
      </c>
      <c r="E36" s="5" t="inlineStr">
        <is>
          <t>保持</t>
        </is>
      </c>
      <c r="F36" s="5" t="inlineStr">
        <is>
          <t>履歴上の確定率</t>
        </is>
      </c>
      <c r="G36" s="5" t="inlineStr">
        <is>
          <t>継続</t>
        </is>
      </c>
      <c r="H36" s="5" t="inlineStr">
        <is>
          <t>use</t>
        </is>
      </c>
      <c r="I36" s="5" t="inlineStr"/>
    </row>
    <row r="37">
      <c r="A37" s="4" t="inlineStr">
        <is>
          <t>usage_logs</t>
        </is>
      </c>
      <c r="B37" s="4" t="inlineStr">
        <is>
          <t>used_at</t>
        </is>
      </c>
      <c r="C37" s="4" t="inlineStr">
        <is>
          <t>timestamptz</t>
        </is>
      </c>
      <c r="D37" s="4" t="inlineStr">
        <is>
          <t>必須</t>
        </is>
      </c>
      <c r="E37" s="4" t="inlineStr">
        <is>
          <t>保持</t>
        </is>
      </c>
      <c r="F37" s="4" t="inlineStr">
        <is>
          <t>利用時刻</t>
        </is>
      </c>
      <c r="G37" s="4" t="inlineStr">
        <is>
          <t>継続</t>
        </is>
      </c>
      <c r="H37" s="4" t="inlineStr">
        <is>
          <t>use</t>
        </is>
      </c>
      <c r="I37" s="4" t="inlineStr"/>
    </row>
    <row r="38">
      <c r="A38" s="5" t="inlineStr">
        <is>
          <t>display_target(暫定)</t>
        </is>
      </c>
      <c r="B38" s="5" t="inlineStr">
        <is>
          <t>plan_id</t>
        </is>
      </c>
      <c r="C38" s="5" t="inlineStr">
        <is>
          <t>text</t>
        </is>
      </c>
      <c r="D38" s="5" t="inlineStr">
        <is>
          <t>必須</t>
        </is>
      </c>
      <c r="E38" s="5" t="inlineStr">
        <is>
          <t>暫定</t>
        </is>
      </c>
      <c r="F38" s="5" t="inlineStr">
        <is>
          <t>front に出す plan</t>
        </is>
      </c>
      <c r="G38" s="5" t="inlineStr">
        <is>
          <t>一時的に JSON 保存でも可</t>
        </is>
      </c>
      <c r="H38" s="5" t="inlineStr">
        <is>
          <t>dashboard, current, front</t>
        </is>
      </c>
      <c r="I38" s="5" t="inlineStr">
        <is>
          <t>将来 DB 化推奨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16" customWidth="1" min="4" max="4"/>
    <col width="20" customWidth="1" min="5" max="5"/>
    <col width="10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04_PHP改修一覧</t>
        </is>
      </c>
    </row>
    <row r="2">
      <c r="A2" s="2" t="inlineStr">
        <is>
          <t>ファイル単位で役割・改修点・DB影響を明示。まずロジックを coupon_logic.php に寄せ、dashboard の生判定を減らす。</t>
        </is>
      </c>
    </row>
    <row r="3"/>
    <row r="4">
      <c r="A4" s="3" t="inlineStr">
        <is>
          <t>ファイル</t>
        </is>
      </c>
      <c r="B4" s="3" t="inlineStr">
        <is>
          <t>現役割</t>
        </is>
      </c>
      <c r="C4" s="3" t="inlineStr">
        <is>
          <t>主改修内容</t>
        </is>
      </c>
      <c r="D4" s="3" t="inlineStr">
        <is>
          <t>DB影響</t>
        </is>
      </c>
      <c r="E4" s="3" t="inlineStr">
        <is>
          <t>API/画面影響</t>
        </is>
      </c>
      <c r="F4" s="3" t="inlineStr">
        <is>
          <t>優先度</t>
        </is>
      </c>
      <c r="G4" s="3" t="inlineStr">
        <is>
          <t>備考</t>
        </is>
      </c>
    </row>
    <row r="5">
      <c r="A5" s="4" t="inlineStr">
        <is>
          <t>lib/bootstrap.php</t>
        </is>
      </c>
      <c r="B5" s="4" t="inlineStr">
        <is>
          <t>共通読込・定数・初期化</t>
        </is>
      </c>
      <c r="C5" s="4" t="inlineStr">
        <is>
          <t>読込順を整理。coupon_model / coupon_logic / db / functions を実態に合わせ統一。</t>
        </is>
      </c>
      <c r="D5" s="4" t="inlineStr">
        <is>
          <t>なし</t>
        </is>
      </c>
      <c r="E5" s="4" t="inlineStr">
        <is>
          <t>全体</t>
        </is>
      </c>
      <c r="F5" s="4" t="inlineStr">
        <is>
          <t>高</t>
        </is>
      </c>
      <c r="G5" s="4" t="inlineStr">
        <is>
          <t>不要な旧ファイル読込を整理</t>
        </is>
      </c>
    </row>
    <row r="6">
      <c r="A6" s="5" t="inlineStr">
        <is>
          <t>lib/db.php</t>
        </is>
      </c>
      <c r="B6" s="5" t="inlineStr">
        <is>
          <t>DB接続</t>
        </is>
      </c>
      <c r="C6" s="5" t="inlineStr">
        <is>
          <t>DATABASE_URL と Docker 用分解環境変数の両対応を明確化。</t>
        </is>
      </c>
      <c r="D6" s="5" t="inlineStr">
        <is>
          <t>接続先変更</t>
        </is>
      </c>
      <c r="E6" s="5" t="inlineStr">
        <is>
          <t>全API</t>
        </is>
      </c>
      <c r="F6" s="5" t="inlineStr">
        <is>
          <t>最優先</t>
        </is>
      </c>
      <c r="G6" s="5" t="inlineStr">
        <is>
          <t>会社GitHub＋localhost移行にも直結</t>
        </is>
      </c>
    </row>
    <row r="7">
      <c r="A7" s="4" t="inlineStr">
        <is>
          <t>lib/functions.php</t>
        </is>
      </c>
      <c r="B7" s="4" t="inlineStr">
        <is>
          <t>汎用関数</t>
        </is>
      </c>
      <c r="C7" s="4" t="inlineStr">
        <is>
          <t>json_response, h, redirect, storage系を再確認。display target 以外の JSON 名残を縮小。</t>
        </is>
      </c>
      <c r="D7" s="4" t="inlineStr">
        <is>
          <t>軽微</t>
        </is>
      </c>
      <c r="E7" s="4" t="inlineStr">
        <is>
          <t>全体</t>
        </is>
      </c>
      <c r="F7" s="4" t="inlineStr">
        <is>
          <t>高</t>
        </is>
      </c>
      <c r="G7" s="4" t="inlineStr">
        <is>
          <t>APIエラー形式統一</t>
        </is>
      </c>
    </row>
    <row r="8">
      <c r="A8" s="5" t="inlineStr">
        <is>
          <t>lib/coupon_logic.php</t>
        </is>
      </c>
      <c r="B8" s="5" t="inlineStr">
        <is>
          <t>業務判定の中心</t>
        </is>
      </c>
      <c r="C8" s="5" t="inlineStr">
        <is>
          <t>plan 有効判定、daily rate 取得、発行可否、使用可否、dashboard表示用整形を集約。</t>
        </is>
      </c>
      <c r="D8" s="5" t="inlineStr">
        <is>
          <t>daily_rates 参照追加</t>
        </is>
      </c>
      <c r="E8" s="5" t="inlineStr">
        <is>
          <t>dashboard/current/use/get</t>
        </is>
      </c>
      <c r="F8" s="5" t="inlineStr">
        <is>
          <t>最優先</t>
        </is>
      </c>
      <c r="G8" s="5" t="inlineStr">
        <is>
          <t>状態=時間 判定をここに固定</t>
        </is>
      </c>
    </row>
    <row r="9">
      <c r="A9" s="4" t="inlineStr">
        <is>
          <t>lib/coupon_model.php</t>
        </is>
      </c>
      <c r="B9" s="4" t="inlineStr">
        <is>
          <t>粗利益モデル</t>
        </is>
      </c>
      <c r="C9" s="4" t="inlineStr">
        <is>
          <t>単価・原価率・閲覧数から最適帯を算出し、日別自動生成の基準を返す。</t>
        </is>
      </c>
      <c r="D9" s="4" t="inlineStr">
        <is>
          <t>plans入力列追加に連動</t>
        </is>
      </c>
      <c r="E9" s="4" t="inlineStr">
        <is>
          <t>edit / 日別生成</t>
        </is>
      </c>
      <c r="F9" s="4" t="inlineStr">
        <is>
          <t>高</t>
        </is>
      </c>
      <c r="G9" s="4" t="inlineStr">
        <is>
          <t>最大粗利益カーブ原本</t>
        </is>
      </c>
    </row>
    <row r="10">
      <c r="A10" s="5" t="inlineStr">
        <is>
          <t>lib/coupon_discount.php</t>
        </is>
      </c>
      <c r="B10" s="5" t="inlineStr">
        <is>
          <t>旧橋渡し層</t>
        </is>
      </c>
      <c r="C10" s="5" t="inlineStr">
        <is>
          <t>廃止または最小ラッパ化。minutes前提ロジックを残さない。</t>
        </is>
      </c>
      <c r="D10" s="5" t="inlineStr">
        <is>
          <t>旧列依存削除</t>
        </is>
      </c>
      <c r="E10" s="5" t="inlineStr">
        <is>
          <t>ロジック整理</t>
        </is>
      </c>
      <c r="F10" s="5" t="inlineStr">
        <is>
          <t>高</t>
        </is>
      </c>
      <c r="G10" s="5" t="inlineStr">
        <is>
          <t>最終的に消す方向</t>
        </is>
      </c>
    </row>
    <row r="11">
      <c r="A11" s="4" t="inlineStr">
        <is>
          <t>api/check_health.php</t>
        </is>
      </c>
      <c r="B11" s="4" t="inlineStr">
        <is>
          <t>疎通確認</t>
        </is>
      </c>
      <c r="C11" s="4" t="inlineStr">
        <is>
          <t>現状維持。DB時間を返すのみ。</t>
        </is>
      </c>
      <c r="D11" s="4" t="inlineStr">
        <is>
          <t>なし</t>
        </is>
      </c>
      <c r="E11" s="4" t="inlineStr">
        <is>
          <t>環境確認</t>
        </is>
      </c>
      <c r="F11" s="4" t="inlineStr">
        <is>
          <t>中</t>
        </is>
      </c>
      <c r="G11" s="4" t="inlineStr">
        <is>
          <t>移行後の最初の確認先</t>
        </is>
      </c>
    </row>
    <row r="12">
      <c r="A12" s="5" t="inlineStr">
        <is>
          <t>api/coupon_current.php</t>
        </is>
      </c>
      <c r="B12" s="5" t="inlineStr">
        <is>
          <t>現在の表示率取得</t>
        </is>
      </c>
      <c r="C12" s="5" t="inlineStr">
        <is>
          <t>display target と daily_rates から current_discount_rate を返す。時間外なら業務エラー。</t>
        </is>
      </c>
      <c r="D12" s="5" t="inlineStr">
        <is>
          <t>daily_rates 必須</t>
        </is>
      </c>
      <c r="E12" s="5" t="inlineStr">
        <is>
          <t>front</t>
        </is>
      </c>
      <c r="F12" s="5" t="inlineStr">
        <is>
          <t>最優先</t>
        </is>
      </c>
      <c r="G12" s="5" t="inlineStr">
        <is>
          <t>「確定率」表現禁止</t>
        </is>
      </c>
    </row>
    <row r="13">
      <c r="A13" s="4" t="inlineStr">
        <is>
          <t>api/coupon_issue.php</t>
        </is>
      </c>
      <c r="B13" s="4" t="inlineStr">
        <is>
          <t>クーポン発行</t>
        </is>
      </c>
      <c r="C13" s="4" t="inlineStr">
        <is>
          <t>coupon_code 発行、issued_discount_rate 保存、必要なら current 参考値返却。</t>
        </is>
      </c>
      <c r="D13" s="4" t="inlineStr">
        <is>
          <t>coupons 保存</t>
        </is>
      </c>
      <c r="E13" s="4" t="inlineStr">
        <is>
          <t>front</t>
        </is>
      </c>
      <c r="F13" s="4" t="inlineStr">
        <is>
          <t>最優先</t>
        </is>
      </c>
      <c r="G13" s="4" t="inlineStr">
        <is>
          <t>発行=最終適用ではない</t>
        </is>
      </c>
    </row>
    <row r="14">
      <c r="A14" s="5" t="inlineStr">
        <is>
          <t>api/coupon_get.php</t>
        </is>
      </c>
      <c r="B14" s="5" t="inlineStr">
        <is>
          <t>発行済状態取得</t>
        </is>
      </c>
      <c r="C14" s="5" t="inlineStr">
        <is>
          <t>未使用: issued/current、使用済: used を返す。</t>
        </is>
      </c>
      <c r="D14" s="5" t="inlineStr">
        <is>
          <t>daily_rates / coupons 参照</t>
        </is>
      </c>
      <c r="E14" s="5" t="inlineStr">
        <is>
          <t>front / 管理確認</t>
        </is>
      </c>
      <c r="F14" s="5" t="inlineStr">
        <is>
          <t>高</t>
        </is>
      </c>
      <c r="G14" s="5" t="inlineStr">
        <is>
          <t>表示整合の中心</t>
        </is>
      </c>
    </row>
    <row r="15">
      <c r="A15" s="4" t="inlineStr">
        <is>
          <t>api/coupon_use.php</t>
        </is>
      </c>
      <c r="B15" s="4" t="inlineStr">
        <is>
          <t>使用処理</t>
        </is>
      </c>
      <c r="C15" s="4" t="inlineStr">
        <is>
          <t>使用時点の daily rate を used_discount_rate に確定保存。公開終了後は使用不可。</t>
        </is>
      </c>
      <c r="D15" s="4" t="inlineStr">
        <is>
          <t>coupons / usage_logs 更新</t>
        </is>
      </c>
      <c r="E15" s="4" t="inlineStr">
        <is>
          <t>front / 利用画面</t>
        </is>
      </c>
      <c r="F15" s="4" t="inlineStr">
        <is>
          <t>最優先</t>
        </is>
      </c>
      <c r="G15" s="4" t="inlineStr">
        <is>
          <t>最重要業務</t>
        </is>
      </c>
    </row>
    <row r="16">
      <c r="A16" s="5" t="inlineStr">
        <is>
          <t>admin/dashboard.php</t>
        </is>
      </c>
      <c r="B16" s="5" t="inlineStr">
        <is>
          <t>一覧/状態/表示対象選択</t>
        </is>
      </c>
      <c r="C16" s="5" t="inlineStr">
        <is>
          <t>状態を時間基準で表示。front 表示対象は別概念として選択。時間外 plan は選択不可に寄せる。</t>
        </is>
      </c>
      <c r="D16" s="5" t="inlineStr">
        <is>
          <t>display target / daily_rates</t>
        </is>
      </c>
      <c r="E16" s="5" t="inlineStr">
        <is>
          <t>管理画面</t>
        </is>
      </c>
      <c r="F16" s="5" t="inlineStr">
        <is>
          <t>最優先</t>
        </is>
      </c>
      <c r="G16" s="5" t="inlineStr">
        <is>
          <t>編集ボタン導線も明確化</t>
        </is>
      </c>
    </row>
    <row r="17">
      <c r="A17" s="4" t="inlineStr">
        <is>
          <t>admin/coupon_edit.php</t>
        </is>
      </c>
      <c r="B17" s="4" t="inlineStr">
        <is>
          <t>プラン編集</t>
        </is>
      </c>
      <c r="C17" s="4" t="inlineStr">
        <is>
          <t>minutes項目削除。model入力項目(unit_price, cost_rate, viewers) を追加検討。</t>
        </is>
      </c>
      <c r="D17" s="4" t="inlineStr">
        <is>
          <t>plans 項目拡張</t>
        </is>
      </c>
      <c r="E17" s="4" t="inlineStr">
        <is>
          <t>管理画面</t>
        </is>
      </c>
      <c r="F17" s="4" t="inlineStr">
        <is>
          <t>高</t>
        </is>
      </c>
      <c r="G17" s="4" t="inlineStr">
        <is>
          <t>daily rate 再生成導線の起点</t>
        </is>
      </c>
    </row>
    <row r="18">
      <c r="A18" s="5" t="inlineStr">
        <is>
          <t>scripts/init_db.php</t>
        </is>
      </c>
      <c r="B18" s="5" t="inlineStr">
        <is>
          <t>DB初期化</t>
        </is>
      </c>
      <c r="C18" s="5" t="inlineStr">
        <is>
          <t>最新列へ一致。schema.sql の原本。</t>
        </is>
      </c>
      <c r="D18" s="5" t="inlineStr">
        <is>
          <t>全表</t>
        </is>
      </c>
      <c r="E18" s="5" t="inlineStr">
        <is>
          <t>セットアップ</t>
        </is>
      </c>
      <c r="F18" s="5" t="inlineStr">
        <is>
          <t>最優先</t>
        </is>
      </c>
      <c r="G18" s="5" t="inlineStr">
        <is>
          <t>最終正本</t>
        </is>
      </c>
    </row>
    <row r="19">
      <c r="A19" s="4" t="inlineStr">
        <is>
          <t>sql/schema.sql</t>
        </is>
      </c>
      <c r="B19" s="4" t="inlineStr">
        <is>
          <t>DDL資料</t>
        </is>
      </c>
      <c r="C19" s="4" t="inlineStr">
        <is>
          <t>init_db と完全一致に更新。</t>
        </is>
      </c>
      <c r="D19" s="4" t="inlineStr">
        <is>
          <t>全表</t>
        </is>
      </c>
      <c r="E19" s="4" t="inlineStr">
        <is>
          <t>資料整合</t>
        </is>
      </c>
      <c r="F19" s="4" t="inlineStr">
        <is>
          <t>最優先</t>
        </is>
      </c>
      <c r="G19" s="4" t="inlineStr">
        <is>
          <t>差分を残さない</t>
        </is>
      </c>
    </row>
    <row r="20">
      <c r="A20" s="5" t="inlineStr">
        <is>
          <t>README.md / docs/file-structure.md</t>
        </is>
      </c>
      <c r="B20" s="5" t="inlineStr">
        <is>
          <t>資料</t>
        </is>
      </c>
      <c r="C20" s="5" t="inlineStr">
        <is>
          <t>現行構成・API・DB・運用ルールへ更新。</t>
        </is>
      </c>
      <c r="D20" s="5" t="inlineStr">
        <is>
          <t>なし</t>
        </is>
      </c>
      <c r="E20" s="5" t="inlineStr">
        <is>
          <t>引継ぎ</t>
        </is>
      </c>
      <c r="F20" s="5" t="inlineStr">
        <is>
          <t>高</t>
        </is>
      </c>
      <c r="G20" s="5" t="inlineStr">
        <is>
          <t>Render前提の記述を見直し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26" customWidth="1" min="4" max="4"/>
    <col width="22" customWidth="1" min="5" max="5"/>
    <col width="3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05_画面導線仕様</t>
        </is>
      </c>
    </row>
    <row r="2">
      <c r="A2" s="2" t="inlineStr">
        <is>
          <t>フロント導線と管理画面導線。表示対象と時間状態の分離を UI 上でも崩さない。</t>
        </is>
      </c>
    </row>
    <row r="3"/>
    <row r="4">
      <c r="A4" s="3" t="inlineStr">
        <is>
          <t>区分</t>
        </is>
      </c>
      <c r="B4" s="3" t="inlineStr">
        <is>
          <t>画面/段階</t>
        </is>
      </c>
      <c r="C4" s="3" t="inlineStr">
        <is>
          <t>主処理</t>
        </is>
      </c>
      <c r="D4" s="3" t="inlineStr">
        <is>
          <t>必要データ</t>
        </is>
      </c>
      <c r="E4" s="3" t="inlineStr">
        <is>
          <t>使用API/参照</t>
        </is>
      </c>
      <c r="F4" s="3" t="inlineStr">
        <is>
          <t>注意点</t>
        </is>
      </c>
    </row>
    <row r="5">
      <c r="A5" s="4" t="inlineStr">
        <is>
          <t>フロント</t>
        </is>
      </c>
      <c r="B5" s="4" t="inlineStr">
        <is>
          <t>入口</t>
        </is>
      </c>
      <c r="C5" s="4" t="inlineStr">
        <is>
          <t>表示対象 plan を取得して案内開始</t>
        </is>
      </c>
      <c r="D5" s="4" t="inlineStr">
        <is>
          <t>display target, plan概要</t>
        </is>
      </c>
      <c r="E5" s="4" t="inlineStr">
        <is>
          <t>coupon_current / dashboard設定</t>
        </is>
      </c>
      <c r="F5" s="4" t="inlineStr">
        <is>
          <t>時間外 plan を見せない</t>
        </is>
      </c>
    </row>
    <row r="6">
      <c r="A6" s="5" t="inlineStr">
        <is>
          <t>フロント</t>
        </is>
      </c>
      <c r="B6" s="5" t="inlineStr">
        <is>
          <t>規約同意</t>
        </is>
      </c>
      <c r="C6" s="5" t="inlineStr">
        <is>
          <t>規約同意状態を確認・保存</t>
        </is>
      </c>
      <c r="D6" s="5" t="inlineStr">
        <is>
          <t>terms version, agreed_at</t>
        </is>
      </c>
      <c r="E6" s="5" t="inlineStr">
        <is>
          <t>将来API or DB</t>
        </is>
      </c>
      <c r="F6" s="5" t="inlineStr">
        <is>
          <t>初回必須なら入口条件</t>
        </is>
      </c>
    </row>
    <row r="7">
      <c r="A7" s="4" t="inlineStr">
        <is>
          <t>フロント</t>
        </is>
      </c>
      <c r="B7" s="4" t="inlineStr">
        <is>
          <t>アンケート</t>
        </is>
      </c>
      <c r="C7" s="4" t="inlineStr">
        <is>
          <t>必要なら事前回答を取得</t>
        </is>
      </c>
      <c r="D7" s="4" t="inlineStr">
        <is>
          <t>survey payload</t>
        </is>
      </c>
      <c r="E7" s="4" t="inlineStr">
        <is>
          <t>将来API or DB</t>
        </is>
      </c>
      <c r="F7" s="4" t="inlineStr">
        <is>
          <t>plan ごとの分岐も可</t>
        </is>
      </c>
    </row>
    <row r="8">
      <c r="A8" s="5" t="inlineStr">
        <is>
          <t>フロント</t>
        </is>
      </c>
      <c r="B8" s="5" t="inlineStr">
        <is>
          <t>クーポン選択/確認</t>
        </is>
      </c>
      <c r="C8" s="5" t="inlineStr">
        <is>
          <t>plan 詳細・当日率を表示</t>
        </is>
      </c>
      <c r="D8" s="5" t="inlineStr">
        <is>
          <t>title, description, current_discount_rate</t>
        </is>
      </c>
      <c r="E8" s="5" t="inlineStr">
        <is>
          <t>coupon_current</t>
        </is>
      </c>
      <c r="F8" s="5" t="inlineStr">
        <is>
          <t>「確定率」と誤読させない</t>
        </is>
      </c>
    </row>
    <row r="9">
      <c r="A9" s="4" t="inlineStr">
        <is>
          <t>フロント</t>
        </is>
      </c>
      <c r="B9" s="4" t="inlineStr">
        <is>
          <t>クーポン発行</t>
        </is>
      </c>
      <c r="C9" s="4" t="inlineStr">
        <is>
          <t>coupon_code を受け取る</t>
        </is>
      </c>
      <c r="D9" s="4" t="inlineStr">
        <is>
          <t>coupon_code, issued_discount_rate</t>
        </is>
      </c>
      <c r="E9" s="4" t="inlineStr">
        <is>
          <t>coupon_issue</t>
        </is>
      </c>
      <c r="F9" s="4" t="inlineStr">
        <is>
          <t>発行時点では最終率未確定</t>
        </is>
      </c>
    </row>
    <row r="10">
      <c r="A10" s="5" t="inlineStr">
        <is>
          <t>フロント</t>
        </is>
      </c>
      <c r="B10" s="5" t="inlineStr">
        <is>
          <t>発行済確認</t>
        </is>
      </c>
      <c r="C10" s="5" t="inlineStr">
        <is>
          <t>現在状態を再表示</t>
        </is>
      </c>
      <c r="D10" s="5" t="inlineStr">
        <is>
          <t>issued/current or used</t>
        </is>
      </c>
      <c r="E10" s="5" t="inlineStr">
        <is>
          <t>coupon_get</t>
        </is>
      </c>
      <c r="F10" s="5" t="inlineStr">
        <is>
          <t>未使用時は current を再取得</t>
        </is>
      </c>
    </row>
    <row r="11">
      <c r="A11" s="4" t="inlineStr">
        <is>
          <t>フロント</t>
        </is>
      </c>
      <c r="B11" s="4" t="inlineStr">
        <is>
          <t>利用実行</t>
        </is>
      </c>
      <c r="C11" s="4" t="inlineStr">
        <is>
          <t>使用時点で確定</t>
        </is>
      </c>
      <c r="D11" s="4" t="inlineStr">
        <is>
          <t>used_discount_rate, used_at</t>
        </is>
      </c>
      <c r="E11" s="4" t="inlineStr">
        <is>
          <t>coupon_use</t>
        </is>
      </c>
      <c r="F11" s="4" t="inlineStr">
        <is>
          <t>公開終了後はエラー</t>
        </is>
      </c>
    </row>
    <row r="12">
      <c r="A12" s="5" t="inlineStr">
        <is>
          <t>フロント</t>
        </is>
      </c>
      <c r="B12" s="5" t="inlineStr">
        <is>
          <t>完了/履歴</t>
        </is>
      </c>
      <c r="C12" s="5" t="inlineStr">
        <is>
          <t>使用済内容を表示</t>
        </is>
      </c>
      <c r="D12" s="5" t="inlineStr">
        <is>
          <t>used_discount_rate</t>
        </is>
      </c>
      <c r="E12" s="5" t="inlineStr">
        <is>
          <t>coupon_get</t>
        </is>
      </c>
      <c r="F12" s="5" t="inlineStr">
        <is>
          <t>監査表示と一致</t>
        </is>
      </c>
    </row>
    <row r="13">
      <c r="A13" s="4" t="inlineStr">
        <is>
          <t>管理</t>
        </is>
      </c>
      <c r="B13" s="4" t="inlineStr">
        <is>
          <t>dashboard 一覧</t>
        </is>
      </c>
      <c r="C13" s="4" t="inlineStr">
        <is>
          <t>全plan一覧、状態表示、表示対象選択</t>
        </is>
      </c>
      <c r="D13" s="4" t="inlineStr">
        <is>
          <t>plans, now, display_target</t>
        </is>
      </c>
      <c r="E13" s="4" t="inlineStr">
        <is>
          <t>coupon_logic, DB</t>
        </is>
      </c>
      <c r="F13" s="4" t="inlineStr">
        <is>
          <t>状態は時間基準</t>
        </is>
      </c>
    </row>
    <row r="14">
      <c r="A14" s="5" t="inlineStr">
        <is>
          <t>管理</t>
        </is>
      </c>
      <c r="B14" s="5" t="inlineStr">
        <is>
          <t>dashboard 編集導線</t>
        </is>
      </c>
      <c r="C14" s="5" t="inlineStr">
        <is>
          <t>各行から edit へ遷移</t>
        </is>
      </c>
      <c r="D14" s="5" t="inlineStr">
        <is>
          <t>plan_id</t>
        </is>
      </c>
      <c r="E14" s="5" t="inlineStr">
        <is>
          <t>-</t>
        </is>
      </c>
      <c r="F14" s="5" t="inlineStr">
        <is>
          <t>編集ボタンを明確に</t>
        </is>
      </c>
    </row>
    <row r="15">
      <c r="A15" s="4" t="inlineStr">
        <is>
          <t>管理</t>
        </is>
      </c>
      <c r="B15" s="4" t="inlineStr">
        <is>
          <t>coupon_edit</t>
        </is>
      </c>
      <c r="C15" s="4" t="inlineStr">
        <is>
          <t>plan 基本項目編集</t>
        </is>
      </c>
      <c r="D15" s="4" t="inlineStr">
        <is>
          <t>title,期間, rates, model入力</t>
        </is>
      </c>
      <c r="E15" s="4" t="inlineStr">
        <is>
          <t>DB保存</t>
        </is>
      </c>
      <c r="F15" s="4" t="inlineStr">
        <is>
          <t>minutes項目は出さない</t>
        </is>
      </c>
    </row>
    <row r="16">
      <c r="A16" s="5" t="inlineStr">
        <is>
          <t>管理</t>
        </is>
      </c>
      <c r="B16" s="5" t="inlineStr">
        <is>
          <t>日別レート管理</t>
        </is>
      </c>
      <c r="C16" s="5" t="inlineStr">
        <is>
          <t>自動生成→override</t>
        </is>
      </c>
      <c r="D16" s="5" t="inlineStr">
        <is>
          <t>daily_rates</t>
        </is>
      </c>
      <c r="E16" s="5" t="inlineStr">
        <is>
          <t>将来API or 直DB</t>
        </is>
      </c>
      <c r="F16" s="5" t="inlineStr">
        <is>
          <t>source_type / override を残す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06_粗利益モデル</t>
        </is>
      </c>
    </row>
    <row r="2">
      <c r="A2" s="2" t="inlineStr">
        <is>
          <t>coupon_model.php / max_coupon_rate.md の考え方を簡易表で見える化。黄色セルは入力。</t>
        </is>
      </c>
    </row>
    <row r="3"/>
    <row r="4">
      <c r="A4" s="6" t="inlineStr">
        <is>
          <t>入力</t>
        </is>
      </c>
      <c r="D4" s="6" t="inlineStr">
        <is>
          <t>主要KPI</t>
        </is>
      </c>
      <c r="H4" s="4" t="inlineStr">
        <is>
          <t>備考</t>
        </is>
      </c>
    </row>
    <row r="5">
      <c r="A5" s="7" t="inlineStr">
        <is>
          <t>A係数</t>
        </is>
      </c>
      <c r="B5" s="8" t="n">
        <v>0.01</v>
      </c>
      <c r="D5" s="7" t="inlineStr">
        <is>
          <t>理論最適割引率 d*</t>
        </is>
      </c>
      <c r="E5" s="4">
        <f>1-B8-(1/B7)</f>
        <v/>
      </c>
      <c r="H5" s="4" t="inlineStr">
        <is>
          <t>この表は考え方確認用。実装では coupon_model.php の返却値を正とする。</t>
        </is>
      </c>
    </row>
    <row r="6">
      <c r="A6" s="7" t="inlineStr">
        <is>
          <t>B係数</t>
        </is>
      </c>
      <c r="B6" s="8" t="n">
        <v>4.14</v>
      </c>
      <c r="D6" s="7" t="inlineStr">
        <is>
          <t>候補最大期待粗利益</t>
        </is>
      </c>
      <c r="E6" s="4">
        <f>MAX(G16:G36)</f>
        <v/>
      </c>
    </row>
    <row r="7">
      <c r="A7" s="7" t="inlineStr">
        <is>
          <t>商品単価</t>
        </is>
      </c>
      <c r="B7" s="9" t="n">
        <v>3600</v>
      </c>
      <c r="D7" s="7" t="inlineStr">
        <is>
          <t>候補最適割引率</t>
        </is>
      </c>
      <c r="E7" s="4">
        <f>INDEX(A16:A36,MATCH(E6,G16:G36,0))</f>
        <v/>
      </c>
    </row>
    <row r="8">
      <c r="A8" s="7" t="inlineStr">
        <is>
          <t>原価率</t>
        </is>
      </c>
      <c r="B8" s="10" t="n">
        <v>0.35</v>
      </c>
      <c r="D8" s="7" t="inlineStr">
        <is>
          <t>候補最適時の利用率</t>
        </is>
      </c>
      <c r="E8" s="4">
        <f>INDEX(B16:B36,MATCH(E6,G16:G36,0))</f>
        <v/>
      </c>
    </row>
    <row r="9">
      <c r="A9" s="7" t="inlineStr">
        <is>
          <t>想定閲覧数</t>
        </is>
      </c>
      <c r="B9" s="9" t="n">
        <v>1000</v>
      </c>
      <c r="D9" s="7" t="inlineStr">
        <is>
          <t>候補最適時の期待利用人数</t>
        </is>
      </c>
      <c r="E9" s="4">
        <f>INDEX(C16:C36,MATCH(E6,G16:G36,0))</f>
        <v/>
      </c>
    </row>
    <row r="10">
      <c r="A10" s="7" t="inlineStr">
        <is>
          <t>最小割引率</t>
        </is>
      </c>
      <c r="B10" s="10" t="n">
        <v>0.3</v>
      </c>
    </row>
    <row r="11">
      <c r="A11" s="7" t="inlineStr">
        <is>
          <t>最大割引率</t>
        </is>
      </c>
      <c r="B11" s="10" t="n">
        <v>0.5</v>
      </c>
    </row>
    <row r="12">
      <c r="A12" s="7" t="inlineStr">
        <is>
          <t>刻み幅</t>
        </is>
      </c>
      <c r="B12" s="9" t="n">
        <v>0.01</v>
      </c>
    </row>
    <row r="13"/>
    <row r="14"/>
    <row r="15">
      <c r="A15" s="3" t="inlineStr">
        <is>
          <t>割引率</t>
        </is>
      </c>
      <c r="B15" s="3" t="inlineStr">
        <is>
          <t>想定利用率</t>
        </is>
      </c>
      <c r="C15" s="3" t="inlineStr">
        <is>
          <t>期待利用人数</t>
        </is>
      </c>
      <c r="D15" s="3" t="inlineStr">
        <is>
          <t>販売単価</t>
        </is>
      </c>
      <c r="E15" s="3" t="inlineStr">
        <is>
          <t>原価単価</t>
        </is>
      </c>
      <c r="F15" s="3" t="inlineStr">
        <is>
          <t>1件粗利</t>
        </is>
      </c>
      <c r="G15" s="3" t="inlineStr">
        <is>
          <t>期待粗利合計</t>
        </is>
      </c>
    </row>
    <row r="16">
      <c r="A16" s="11">
        <f>$B$10+($B$12*0)</f>
        <v/>
      </c>
      <c r="B16" s="11">
        <f>$B$5*EXP($B$6*A16)</f>
        <v/>
      </c>
      <c r="C16" s="4">
        <f>$B$8*B16</f>
        <v/>
      </c>
      <c r="D16" s="12">
        <f>$B$7*(1-A16)</f>
        <v/>
      </c>
      <c r="E16" s="12">
        <f>$B$7*$B$8</f>
        <v/>
      </c>
      <c r="F16" s="12">
        <f>D16-E16</f>
        <v/>
      </c>
      <c r="G16" s="12">
        <f>C16*F16</f>
        <v/>
      </c>
    </row>
    <row r="17">
      <c r="A17" s="11">
        <f>$B$10+($B$12*1)</f>
        <v/>
      </c>
      <c r="B17" s="11">
        <f>$B$5*EXP($B$6*A17)</f>
        <v/>
      </c>
      <c r="C17" s="4">
        <f>$B$8*B17</f>
        <v/>
      </c>
      <c r="D17" s="12">
        <f>$B$7*(1-A17)</f>
        <v/>
      </c>
      <c r="E17" s="12">
        <f>$B$7*$B$8</f>
        <v/>
      </c>
      <c r="F17" s="12">
        <f>D17-E17</f>
        <v/>
      </c>
      <c r="G17" s="12">
        <f>C17*F17</f>
        <v/>
      </c>
    </row>
    <row r="18">
      <c r="A18" s="11">
        <f>$B$10+($B$12*2)</f>
        <v/>
      </c>
      <c r="B18" s="11">
        <f>$B$5*EXP($B$6*A18)</f>
        <v/>
      </c>
      <c r="C18" s="4">
        <f>$B$8*B18</f>
        <v/>
      </c>
      <c r="D18" s="12">
        <f>$B$7*(1-A18)</f>
        <v/>
      </c>
      <c r="E18" s="12">
        <f>$B$7*$B$8</f>
        <v/>
      </c>
      <c r="F18" s="12">
        <f>D18-E18</f>
        <v/>
      </c>
      <c r="G18" s="12">
        <f>C18*F18</f>
        <v/>
      </c>
    </row>
    <row r="19">
      <c r="A19" s="11">
        <f>$B$10+($B$12*3)</f>
        <v/>
      </c>
      <c r="B19" s="11">
        <f>$B$5*EXP($B$6*A19)</f>
        <v/>
      </c>
      <c r="C19" s="4">
        <f>$B$8*B19</f>
        <v/>
      </c>
      <c r="D19" s="12">
        <f>$B$7*(1-A19)</f>
        <v/>
      </c>
      <c r="E19" s="12">
        <f>$B$7*$B$8</f>
        <v/>
      </c>
      <c r="F19" s="12">
        <f>D19-E19</f>
        <v/>
      </c>
      <c r="G19" s="12">
        <f>C19*F19</f>
        <v/>
      </c>
    </row>
    <row r="20">
      <c r="A20" s="11">
        <f>$B$10+($B$12*4)</f>
        <v/>
      </c>
      <c r="B20" s="11">
        <f>$B$5*EXP($B$6*A20)</f>
        <v/>
      </c>
      <c r="C20" s="4">
        <f>$B$8*B20</f>
        <v/>
      </c>
      <c r="D20" s="12">
        <f>$B$7*(1-A20)</f>
        <v/>
      </c>
      <c r="E20" s="12">
        <f>$B$7*$B$8</f>
        <v/>
      </c>
      <c r="F20" s="12">
        <f>D20-E20</f>
        <v/>
      </c>
      <c r="G20" s="12">
        <f>C20*F20</f>
        <v/>
      </c>
    </row>
    <row r="21">
      <c r="A21" s="11">
        <f>$B$10+($B$12*5)</f>
        <v/>
      </c>
      <c r="B21" s="11">
        <f>$B$5*EXP($B$6*A21)</f>
        <v/>
      </c>
      <c r="C21" s="4">
        <f>$B$8*B21</f>
        <v/>
      </c>
      <c r="D21" s="12">
        <f>$B$7*(1-A21)</f>
        <v/>
      </c>
      <c r="E21" s="12">
        <f>$B$7*$B$8</f>
        <v/>
      </c>
      <c r="F21" s="12">
        <f>D21-E21</f>
        <v/>
      </c>
      <c r="G21" s="12">
        <f>C21*F21</f>
        <v/>
      </c>
    </row>
    <row r="22">
      <c r="A22" s="11">
        <f>$B$10+($B$12*6)</f>
        <v/>
      </c>
      <c r="B22" s="11">
        <f>$B$5*EXP($B$6*A22)</f>
        <v/>
      </c>
      <c r="C22" s="4">
        <f>$B$8*B22</f>
        <v/>
      </c>
      <c r="D22" s="12">
        <f>$B$7*(1-A22)</f>
        <v/>
      </c>
      <c r="E22" s="12">
        <f>$B$7*$B$8</f>
        <v/>
      </c>
      <c r="F22" s="12">
        <f>D22-E22</f>
        <v/>
      </c>
      <c r="G22" s="12">
        <f>C22*F22</f>
        <v/>
      </c>
    </row>
    <row r="23">
      <c r="A23" s="11">
        <f>$B$10+($B$12*7)</f>
        <v/>
      </c>
      <c r="B23" s="11">
        <f>$B$5*EXP($B$6*A23)</f>
        <v/>
      </c>
      <c r="C23" s="4">
        <f>$B$8*B23</f>
        <v/>
      </c>
      <c r="D23" s="12">
        <f>$B$7*(1-A23)</f>
        <v/>
      </c>
      <c r="E23" s="12">
        <f>$B$7*$B$8</f>
        <v/>
      </c>
      <c r="F23" s="12">
        <f>D23-E23</f>
        <v/>
      </c>
      <c r="G23" s="12">
        <f>C23*F23</f>
        <v/>
      </c>
    </row>
    <row r="24">
      <c r="A24" s="11">
        <f>$B$10+($B$12*8)</f>
        <v/>
      </c>
      <c r="B24" s="11">
        <f>$B$5*EXP($B$6*A24)</f>
        <v/>
      </c>
      <c r="C24" s="4">
        <f>$B$8*B24</f>
        <v/>
      </c>
      <c r="D24" s="12">
        <f>$B$7*(1-A24)</f>
        <v/>
      </c>
      <c r="E24" s="12">
        <f>$B$7*$B$8</f>
        <v/>
      </c>
      <c r="F24" s="12">
        <f>D24-E24</f>
        <v/>
      </c>
      <c r="G24" s="12">
        <f>C24*F24</f>
        <v/>
      </c>
    </row>
    <row r="25">
      <c r="A25" s="11">
        <f>$B$10+($B$12*9)</f>
        <v/>
      </c>
      <c r="B25" s="11">
        <f>$B$5*EXP($B$6*A25)</f>
        <v/>
      </c>
      <c r="C25" s="4">
        <f>$B$8*B25</f>
        <v/>
      </c>
      <c r="D25" s="12">
        <f>$B$7*(1-A25)</f>
        <v/>
      </c>
      <c r="E25" s="12">
        <f>$B$7*$B$8</f>
        <v/>
      </c>
      <c r="F25" s="12">
        <f>D25-E25</f>
        <v/>
      </c>
      <c r="G25" s="12">
        <f>C25*F25</f>
        <v/>
      </c>
    </row>
    <row r="26">
      <c r="A26" s="11">
        <f>$B$10+($B$12*10)</f>
        <v/>
      </c>
      <c r="B26" s="11">
        <f>$B$5*EXP($B$6*A26)</f>
        <v/>
      </c>
      <c r="C26" s="4">
        <f>$B$8*B26</f>
        <v/>
      </c>
      <c r="D26" s="12">
        <f>$B$7*(1-A26)</f>
        <v/>
      </c>
      <c r="E26" s="12">
        <f>$B$7*$B$8</f>
        <v/>
      </c>
      <c r="F26" s="12">
        <f>D26-E26</f>
        <v/>
      </c>
      <c r="G26" s="12">
        <f>C26*F26</f>
        <v/>
      </c>
    </row>
    <row r="27">
      <c r="A27" s="11">
        <f>$B$10+($B$12*11)</f>
        <v/>
      </c>
      <c r="B27" s="11">
        <f>$B$5*EXP($B$6*A27)</f>
        <v/>
      </c>
      <c r="C27" s="4">
        <f>$B$8*B27</f>
        <v/>
      </c>
      <c r="D27" s="12">
        <f>$B$7*(1-A27)</f>
        <v/>
      </c>
      <c r="E27" s="12">
        <f>$B$7*$B$8</f>
        <v/>
      </c>
      <c r="F27" s="12">
        <f>D27-E27</f>
        <v/>
      </c>
      <c r="G27" s="12">
        <f>C27*F27</f>
        <v/>
      </c>
    </row>
    <row r="28">
      <c r="A28" s="11">
        <f>$B$10+($B$12*12)</f>
        <v/>
      </c>
      <c r="B28" s="11">
        <f>$B$5*EXP($B$6*A28)</f>
        <v/>
      </c>
      <c r="C28" s="4">
        <f>$B$8*B28</f>
        <v/>
      </c>
      <c r="D28" s="12">
        <f>$B$7*(1-A28)</f>
        <v/>
      </c>
      <c r="E28" s="12">
        <f>$B$7*$B$8</f>
        <v/>
      </c>
      <c r="F28" s="12">
        <f>D28-E28</f>
        <v/>
      </c>
      <c r="G28" s="12">
        <f>C28*F28</f>
        <v/>
      </c>
    </row>
    <row r="29">
      <c r="A29" s="11">
        <f>$B$10+($B$12*13)</f>
        <v/>
      </c>
      <c r="B29" s="11">
        <f>$B$5*EXP($B$6*A29)</f>
        <v/>
      </c>
      <c r="C29" s="4">
        <f>$B$8*B29</f>
        <v/>
      </c>
      <c r="D29" s="12">
        <f>$B$7*(1-A29)</f>
        <v/>
      </c>
      <c r="E29" s="12">
        <f>$B$7*$B$8</f>
        <v/>
      </c>
      <c r="F29" s="12">
        <f>D29-E29</f>
        <v/>
      </c>
      <c r="G29" s="12">
        <f>C29*F29</f>
        <v/>
      </c>
    </row>
    <row r="30">
      <c r="A30" s="11">
        <f>$B$10+($B$12*14)</f>
        <v/>
      </c>
      <c r="B30" s="11">
        <f>$B$5*EXP($B$6*A30)</f>
        <v/>
      </c>
      <c r="C30" s="4">
        <f>$B$8*B30</f>
        <v/>
      </c>
      <c r="D30" s="12">
        <f>$B$7*(1-A30)</f>
        <v/>
      </c>
      <c r="E30" s="12">
        <f>$B$7*$B$8</f>
        <v/>
      </c>
      <c r="F30" s="12">
        <f>D30-E30</f>
        <v/>
      </c>
      <c r="G30" s="12">
        <f>C30*F30</f>
        <v/>
      </c>
    </row>
    <row r="31">
      <c r="A31" s="11">
        <f>$B$10+($B$12*15)</f>
        <v/>
      </c>
      <c r="B31" s="11">
        <f>$B$5*EXP($B$6*A31)</f>
        <v/>
      </c>
      <c r="C31" s="4">
        <f>$B$8*B31</f>
        <v/>
      </c>
      <c r="D31" s="12">
        <f>$B$7*(1-A31)</f>
        <v/>
      </c>
      <c r="E31" s="12">
        <f>$B$7*$B$8</f>
        <v/>
      </c>
      <c r="F31" s="12">
        <f>D31-E31</f>
        <v/>
      </c>
      <c r="G31" s="12">
        <f>C31*F31</f>
        <v/>
      </c>
    </row>
    <row r="32">
      <c r="A32" s="11">
        <f>$B$10+($B$12*16)</f>
        <v/>
      </c>
      <c r="B32" s="11">
        <f>$B$5*EXP($B$6*A32)</f>
        <v/>
      </c>
      <c r="C32" s="4">
        <f>$B$8*B32</f>
        <v/>
      </c>
      <c r="D32" s="12">
        <f>$B$7*(1-A32)</f>
        <v/>
      </c>
      <c r="E32" s="12">
        <f>$B$7*$B$8</f>
        <v/>
      </c>
      <c r="F32" s="12">
        <f>D32-E32</f>
        <v/>
      </c>
      <c r="G32" s="12">
        <f>C32*F32</f>
        <v/>
      </c>
    </row>
    <row r="33">
      <c r="A33" s="11">
        <f>$B$10+($B$12*17)</f>
        <v/>
      </c>
      <c r="B33" s="11">
        <f>$B$5*EXP($B$6*A33)</f>
        <v/>
      </c>
      <c r="C33" s="4">
        <f>$B$8*B33</f>
        <v/>
      </c>
      <c r="D33" s="12">
        <f>$B$7*(1-A33)</f>
        <v/>
      </c>
      <c r="E33" s="12">
        <f>$B$7*$B$8</f>
        <v/>
      </c>
      <c r="F33" s="12">
        <f>D33-E33</f>
        <v/>
      </c>
      <c r="G33" s="12">
        <f>C33*F33</f>
        <v/>
      </c>
    </row>
    <row r="34">
      <c r="A34" s="11">
        <f>$B$10+($B$12*18)</f>
        <v/>
      </c>
      <c r="B34" s="11">
        <f>$B$5*EXP($B$6*A34)</f>
        <v/>
      </c>
      <c r="C34" s="4">
        <f>$B$8*B34</f>
        <v/>
      </c>
      <c r="D34" s="12">
        <f>$B$7*(1-A34)</f>
        <v/>
      </c>
      <c r="E34" s="12">
        <f>$B$7*$B$8</f>
        <v/>
      </c>
      <c r="F34" s="12">
        <f>D34-E34</f>
        <v/>
      </c>
      <c r="G34" s="12">
        <f>C34*F34</f>
        <v/>
      </c>
    </row>
    <row r="35">
      <c r="A35" s="11">
        <f>$B$10+($B$12*19)</f>
        <v/>
      </c>
      <c r="B35" s="11">
        <f>$B$5*EXP($B$6*A35)</f>
        <v/>
      </c>
      <c r="C35" s="4">
        <f>$B$8*B35</f>
        <v/>
      </c>
      <c r="D35" s="12">
        <f>$B$7*(1-A35)</f>
        <v/>
      </c>
      <c r="E35" s="12">
        <f>$B$7*$B$8</f>
        <v/>
      </c>
      <c r="F35" s="12">
        <f>D35-E35</f>
        <v/>
      </c>
      <c r="G35" s="12">
        <f>C35*F35</f>
        <v/>
      </c>
    </row>
    <row r="36">
      <c r="A36" s="11">
        <f>$B$10+($B$12*20)</f>
        <v/>
      </c>
      <c r="B36" s="11">
        <f>$B$5*EXP($B$6*A36)</f>
        <v/>
      </c>
      <c r="C36" s="4">
        <f>$B$8*B36</f>
        <v/>
      </c>
      <c r="D36" s="12">
        <f>$B$7*(1-A36)</f>
        <v/>
      </c>
      <c r="E36" s="12">
        <f>$B$7*$B$8</f>
        <v/>
      </c>
      <c r="F36" s="12">
        <f>D36-E36</f>
        <v/>
      </c>
      <c r="G36" s="12">
        <f>C36*F36</f>
        <v/>
      </c>
    </row>
  </sheetData>
  <mergeCells count="3">
    <mergeCell ref="A1:J1"/>
    <mergeCell ref="H5:J7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8" customWidth="1" min="9" max="9"/>
    <col width="26" customWidth="1" min="10" max="10"/>
  </cols>
  <sheetData>
    <row r="1">
      <c r="A1" s="1" t="inlineStr">
        <is>
          <t>07_日別レート生成</t>
        </is>
      </c>
    </row>
    <row r="2">
      <c r="A2" s="2" t="inlineStr">
        <is>
          <t>開始日〜終了日の日別 rate 生成サンプル。中央寄せの rates は確認用で、実装時は coupon_plan_daily_rates へ保存する。</t>
        </is>
      </c>
    </row>
    <row r="3"/>
    <row r="4">
      <c r="A4" s="6" t="inlineStr">
        <is>
          <t>入力</t>
        </is>
      </c>
    </row>
    <row r="5">
      <c r="A5" s="7" t="inlineStr">
        <is>
          <t>開始日</t>
        </is>
      </c>
      <c r="B5" s="13" t="n">
        <v>46113</v>
      </c>
    </row>
    <row r="6">
      <c r="A6" s="7" t="inlineStr">
        <is>
          <t>終了日</t>
        </is>
      </c>
      <c r="B6" s="13" t="n">
        <v>46119</v>
      </c>
    </row>
    <row r="7">
      <c r="A7" s="7" t="inlineStr">
        <is>
          <t>総日数</t>
        </is>
      </c>
      <c r="B7" s="9">
        <f>B5-B4+1</f>
        <v/>
      </c>
    </row>
    <row r="8">
      <c r="A8" s="7" t="inlineStr">
        <is>
          <t>開始割引率</t>
        </is>
      </c>
      <c r="B8" s="10">
        <f>'06_粗利益モデル'!B11</f>
        <v/>
      </c>
    </row>
    <row r="9">
      <c r="A9" s="7" t="inlineStr">
        <is>
          <t>最適割引率</t>
        </is>
      </c>
      <c r="B9" s="10">
        <f>'06_粗利益モデル'!E7</f>
        <v/>
      </c>
    </row>
    <row r="10">
      <c r="A10" s="7" t="inlineStr">
        <is>
          <t>終了割引率</t>
        </is>
      </c>
      <c r="B10" s="10">
        <f>'06_粗利益モデル'!B10</f>
        <v/>
      </c>
    </row>
    <row r="11">
      <c r="A11" s="7" t="inlineStr">
        <is>
          <t>最適帯開始日(通算日)</t>
        </is>
      </c>
      <c r="B11" s="9">
        <f>ROUNDUP(B6/2,0)</f>
        <v/>
      </c>
    </row>
    <row r="12">
      <c r="A12" s="7" t="inlineStr">
        <is>
          <t>最適帯終了日(通算日)</t>
        </is>
      </c>
      <c r="B12" s="9">
        <f>MIN(B6,B10+1)</f>
        <v/>
      </c>
    </row>
    <row r="13"/>
    <row r="14"/>
    <row r="15">
      <c r="A15" s="3" t="inlineStr">
        <is>
          <t>通算日</t>
        </is>
      </c>
      <c r="B15" s="3" t="inlineStr">
        <is>
          <t>対象日</t>
        </is>
      </c>
      <c r="C15" s="3" t="inlineStr">
        <is>
          <t>フェーズ</t>
        </is>
      </c>
      <c r="D15" s="3" t="inlineStr">
        <is>
          <t>自動生成率</t>
        </is>
      </c>
      <c r="E15" s="3" t="inlineStr">
        <is>
          <t>override率</t>
        </is>
      </c>
      <c r="F15" s="3" t="inlineStr">
        <is>
          <t>final_rate</t>
        </is>
      </c>
      <c r="G15" s="3" t="inlineStr">
        <is>
          <t>source_type</t>
        </is>
      </c>
      <c r="H15" s="3" t="inlineStr">
        <is>
          <t>is_manual_override</t>
        </is>
      </c>
      <c r="I15" s="3" t="inlineStr">
        <is>
          <t>確認項目</t>
        </is>
      </c>
      <c r="J15" s="3" t="inlineStr">
        <is>
          <t>値</t>
        </is>
      </c>
    </row>
    <row r="16">
      <c r="A16" s="4" t="n">
        <v>1</v>
      </c>
      <c r="B16" s="14">
        <f>$B$5+A16-1</f>
        <v/>
      </c>
      <c r="C16" s="4">
        <f>IF(A16&lt;$B$11,"開始帯",IF(A16&lt;=$B$12,"最適帯","終了帯"))</f>
        <v/>
      </c>
      <c r="D16" s="11">
        <f>IF(C16="開始帯",$B$8,IF(C16="最適帯",$B$9,$B$10))</f>
        <v/>
      </c>
      <c r="E16" s="11" t="inlineStr"/>
      <c r="F16" s="11">
        <f>IF(E16="",D16,E16)</f>
        <v/>
      </c>
      <c r="G16" s="4">
        <f>IF(E16="","auto","manual")</f>
        <v/>
      </c>
      <c r="H16" s="4">
        <f>IF(E16="",FALSE,TRUE)</f>
        <v/>
      </c>
      <c r="I16" s="7" t="inlineStr">
        <is>
          <t>開始日 final</t>
        </is>
      </c>
      <c r="J16" s="4">
        <f>INDEX(F16:F29,MATCH(1,A16:A29,0))</f>
        <v/>
      </c>
    </row>
    <row r="17">
      <c r="A17" s="4" t="n">
        <v>2</v>
      </c>
      <c r="B17" s="14">
        <f>$B$5+A17-1</f>
        <v/>
      </c>
      <c r="C17" s="4">
        <f>IF(A17&lt;$B$11,"開始帯",IF(A17&lt;=$B$12,"最適帯","終了帯"))</f>
        <v/>
      </c>
      <c r="D17" s="11">
        <f>IF(C17="開始帯",$B$8,IF(C17="最適帯",$B$9,$B$10))</f>
        <v/>
      </c>
      <c r="E17" s="11" t="inlineStr"/>
      <c r="F17" s="11">
        <f>IF(E17="",D17,E17)</f>
        <v/>
      </c>
      <c r="G17" s="4">
        <f>IF(E17="","auto","manual")</f>
        <v/>
      </c>
      <c r="H17" s="4">
        <f>IF(E17="",FALSE,TRUE)</f>
        <v/>
      </c>
      <c r="I17" s="7" t="inlineStr">
        <is>
          <t>終了日 final</t>
        </is>
      </c>
      <c r="J17" s="4">
        <f>INDEX(F16:F29,MATCH($B$7,A16:A29,0))</f>
        <v/>
      </c>
    </row>
    <row r="18">
      <c r="A18" s="4" t="n">
        <v>3</v>
      </c>
      <c r="B18" s="14">
        <f>$B$5+A18-1</f>
        <v/>
      </c>
      <c r="C18" s="4">
        <f>IF(A18&lt;$B$11,"開始帯",IF(A18&lt;=$B$12,"最適帯","終了帯"))</f>
        <v/>
      </c>
      <c r="D18" s="11">
        <f>IF(C18="開始帯",$B$8,IF(C18="最適帯",$B$9,$B$10))</f>
        <v/>
      </c>
      <c r="E18" s="11" t="inlineStr"/>
      <c r="F18" s="11">
        <f>IF(E18="",D18,E18)</f>
        <v/>
      </c>
      <c r="G18" s="4">
        <f>IF(E18="","auto","manual")</f>
        <v/>
      </c>
      <c r="H18" s="4">
        <f>IF(E18="",FALSE,TRUE)</f>
        <v/>
      </c>
      <c r="I18" s="7" t="inlineStr">
        <is>
          <t>未使用クーポン表示</t>
        </is>
      </c>
      <c r="J18" s="4" t="inlineStr">
        <is>
          <t>current_discount_rate を返す</t>
        </is>
      </c>
    </row>
    <row r="19">
      <c r="A19" s="4" t="n">
        <v>4</v>
      </c>
      <c r="B19" s="14">
        <f>$B$5+A19-1</f>
        <v/>
      </c>
      <c r="C19" s="4">
        <f>IF(A19&lt;$B$11,"開始帯",IF(A19&lt;=$B$12,"最適帯","終了帯"))</f>
        <v/>
      </c>
      <c r="D19" s="11">
        <f>IF(C19="開始帯",$B$8,IF(C19="最適帯",$B$9,$B$10))</f>
        <v/>
      </c>
      <c r="E19" s="11" t="inlineStr"/>
      <c r="F19" s="11">
        <f>IF(E19="",D19,E19)</f>
        <v/>
      </c>
      <c r="G19" s="4">
        <f>IF(E19="","auto","manual")</f>
        <v/>
      </c>
      <c r="H19" s="4">
        <f>IF(E19="",FALSE,TRUE)</f>
        <v/>
      </c>
      <c r="I19" s="7" t="inlineStr">
        <is>
          <t>公開終了後の使用</t>
        </is>
      </c>
      <c r="J19" s="4" t="inlineStr">
        <is>
          <t>使用不可</t>
        </is>
      </c>
    </row>
    <row r="20">
      <c r="A20" s="4" t="n">
        <v>5</v>
      </c>
      <c r="B20" s="14">
        <f>$B$5+A20-1</f>
        <v/>
      </c>
      <c r="C20" s="4">
        <f>IF(A20&lt;$B$11,"開始帯",IF(A20&lt;=$B$12,"最適帯","終了帯"))</f>
        <v/>
      </c>
      <c r="D20" s="11">
        <f>IF(C20="開始帯",$B$8,IF(C20="最適帯",$B$9,$B$10))</f>
        <v/>
      </c>
      <c r="E20" s="11" t="inlineStr"/>
      <c r="F20" s="11">
        <f>IF(E20="",D20,E20)</f>
        <v/>
      </c>
      <c r="G20" s="4">
        <f>IF(E20="","auto","manual")</f>
        <v/>
      </c>
      <c r="H20" s="4">
        <f>IF(E20="",FALSE,TRUE)</f>
        <v/>
      </c>
      <c r="I20" s="7" t="inlineStr">
        <is>
          <t>旧 minutes カラム</t>
        </is>
      </c>
      <c r="J20" s="4" t="inlineStr">
        <is>
          <t>削除対象</t>
        </is>
      </c>
    </row>
    <row r="21">
      <c r="A21" s="4" t="n">
        <v>6</v>
      </c>
      <c r="B21" s="14">
        <f>$B$5+A21-1</f>
        <v/>
      </c>
      <c r="C21" s="4">
        <f>IF(A21&lt;$B$11,"開始帯",IF(A21&lt;=$B$12,"最適帯","終了帯"))</f>
        <v/>
      </c>
      <c r="D21" s="11">
        <f>IF(C21="開始帯",$B$8,IF(C21="最適帯",$B$9,$B$10))</f>
        <v/>
      </c>
      <c r="E21" s="11" t="inlineStr"/>
      <c r="F21" s="11">
        <f>IF(E21="",D21,E21)</f>
        <v/>
      </c>
      <c r="G21" s="4">
        <f>IF(E21="","auto","manual")</f>
        <v/>
      </c>
      <c r="H21" s="4">
        <f>IF(E21="",FALSE,TRUE)</f>
        <v/>
      </c>
      <c r="I21" s="7" t="inlineStr">
        <is>
          <t>保存先</t>
        </is>
      </c>
      <c r="J21" s="4" t="inlineStr">
        <is>
          <t>coupon_plan_daily_rates</t>
        </is>
      </c>
    </row>
    <row r="22">
      <c r="A22" s="4" t="n">
        <v>7</v>
      </c>
      <c r="B22" s="14">
        <f>$B$5+A22-1</f>
        <v/>
      </c>
      <c r="C22" s="4">
        <f>IF(A22&lt;$B$11,"開始帯",IF(A22&lt;=$B$12,"最適帯","終了帯"))</f>
        <v/>
      </c>
      <c r="D22" s="11">
        <f>IF(C22="開始帯",$B$8,IF(C22="最適帯",$B$9,$B$10))</f>
        <v/>
      </c>
      <c r="E22" s="11" t="inlineStr"/>
      <c r="F22" s="11">
        <f>IF(E22="",D22,E22)</f>
        <v/>
      </c>
      <c r="G22" s="4">
        <f>IF(E22="","auto","manual")</f>
        <v/>
      </c>
      <c r="H22" s="4">
        <f>IF(E22="",FALSE,TRUE)</f>
        <v/>
      </c>
    </row>
    <row r="23">
      <c r="A23" s="4" t="n">
        <v>8</v>
      </c>
      <c r="B23" s="14">
        <f>$B$5+A23-1</f>
        <v/>
      </c>
      <c r="C23" s="4">
        <f>IF(A23&lt;$B$11,"開始帯",IF(A23&lt;=$B$12,"最適帯","終了帯"))</f>
        <v/>
      </c>
      <c r="D23" s="11">
        <f>IF(C23="開始帯",$B$8,IF(C23="最適帯",$B$9,$B$10))</f>
        <v/>
      </c>
      <c r="E23" s="11" t="inlineStr"/>
      <c r="F23" s="11">
        <f>IF(E23="",D23,E23)</f>
        <v/>
      </c>
      <c r="G23" s="4">
        <f>IF(E23="","auto","manual")</f>
        <v/>
      </c>
      <c r="H23" s="4">
        <f>IF(E23="",FALSE,TRUE)</f>
        <v/>
      </c>
    </row>
    <row r="24">
      <c r="A24" s="4" t="n">
        <v>9</v>
      </c>
      <c r="B24" s="14">
        <f>$B$5+A24-1</f>
        <v/>
      </c>
      <c r="C24" s="4">
        <f>IF(A24&lt;$B$11,"開始帯",IF(A24&lt;=$B$12,"最適帯","終了帯"))</f>
        <v/>
      </c>
      <c r="D24" s="11">
        <f>IF(C24="開始帯",$B$8,IF(C24="最適帯",$B$9,$B$10))</f>
        <v/>
      </c>
      <c r="E24" s="11" t="inlineStr"/>
      <c r="F24" s="11">
        <f>IF(E24="",D24,E24)</f>
        <v/>
      </c>
      <c r="G24" s="4">
        <f>IF(E24="","auto","manual")</f>
        <v/>
      </c>
      <c r="H24" s="4">
        <f>IF(E24="",FALSE,TRUE)</f>
        <v/>
      </c>
    </row>
    <row r="25">
      <c r="A25" s="4" t="n">
        <v>10</v>
      </c>
      <c r="B25" s="14">
        <f>$B$5+A25-1</f>
        <v/>
      </c>
      <c r="C25" s="4">
        <f>IF(A25&lt;$B$11,"開始帯",IF(A25&lt;=$B$12,"最適帯","終了帯"))</f>
        <v/>
      </c>
      <c r="D25" s="11">
        <f>IF(C25="開始帯",$B$8,IF(C25="最適帯",$B$9,$B$10))</f>
        <v/>
      </c>
      <c r="E25" s="11" t="inlineStr"/>
      <c r="F25" s="11">
        <f>IF(E25="",D25,E25)</f>
        <v/>
      </c>
      <c r="G25" s="4">
        <f>IF(E25="","auto","manual")</f>
        <v/>
      </c>
      <c r="H25" s="4">
        <f>IF(E25="",FALSE,TRUE)</f>
        <v/>
      </c>
    </row>
    <row r="26">
      <c r="A26" s="4" t="n">
        <v>11</v>
      </c>
      <c r="B26" s="14">
        <f>$B$5+A26-1</f>
        <v/>
      </c>
      <c r="C26" s="4">
        <f>IF(A26&lt;$B$11,"開始帯",IF(A26&lt;=$B$12,"最適帯","終了帯"))</f>
        <v/>
      </c>
      <c r="D26" s="11">
        <f>IF(C26="開始帯",$B$8,IF(C26="最適帯",$B$9,$B$10))</f>
        <v/>
      </c>
      <c r="E26" s="11" t="inlineStr"/>
      <c r="F26" s="11">
        <f>IF(E26="",D26,E26)</f>
        <v/>
      </c>
      <c r="G26" s="4">
        <f>IF(E26="","auto","manual")</f>
        <v/>
      </c>
      <c r="H26" s="4">
        <f>IF(E26="",FALSE,TRUE)</f>
        <v/>
      </c>
    </row>
    <row r="27">
      <c r="A27" s="4" t="n">
        <v>12</v>
      </c>
      <c r="B27" s="14">
        <f>$B$5+A27-1</f>
        <v/>
      </c>
      <c r="C27" s="4">
        <f>IF(A27&lt;$B$11,"開始帯",IF(A27&lt;=$B$12,"最適帯","終了帯"))</f>
        <v/>
      </c>
      <c r="D27" s="11">
        <f>IF(C27="開始帯",$B$8,IF(C27="最適帯",$B$9,$B$10))</f>
        <v/>
      </c>
      <c r="E27" s="11" t="inlineStr"/>
      <c r="F27" s="11">
        <f>IF(E27="",D27,E27)</f>
        <v/>
      </c>
      <c r="G27" s="4">
        <f>IF(E27="","auto","manual")</f>
        <v/>
      </c>
      <c r="H27" s="4">
        <f>IF(E27="",FALSE,TRUE)</f>
        <v/>
      </c>
    </row>
    <row r="28">
      <c r="A28" s="4" t="n">
        <v>13</v>
      </c>
      <c r="B28" s="14">
        <f>$B$5+A28-1</f>
        <v/>
      </c>
      <c r="C28" s="4">
        <f>IF(A28&lt;$B$11,"開始帯",IF(A28&lt;=$B$12,"最適帯","終了帯"))</f>
        <v/>
      </c>
      <c r="D28" s="11">
        <f>IF(C28="開始帯",$B$8,IF(C28="最適帯",$B$9,$B$10))</f>
        <v/>
      </c>
      <c r="E28" s="11" t="inlineStr"/>
      <c r="F28" s="11">
        <f>IF(E28="",D28,E28)</f>
        <v/>
      </c>
      <c r="G28" s="4">
        <f>IF(E28="","auto","manual")</f>
        <v/>
      </c>
      <c r="H28" s="4">
        <f>IF(E28="",FALSE,TRUE)</f>
        <v/>
      </c>
    </row>
    <row r="29">
      <c r="A29" s="4" t="n">
        <v>14</v>
      </c>
      <c r="B29" s="14">
        <f>$B$5+A29-1</f>
        <v/>
      </c>
      <c r="C29" s="4">
        <f>IF(A29&lt;$B$11,"開始帯",IF(A29&lt;=$B$12,"最適帯","終了帯"))</f>
        <v/>
      </c>
      <c r="D29" s="11">
        <f>IF(C29="開始帯",$B$8,IF(C29="最適帯",$B$9,$B$10))</f>
        <v/>
      </c>
      <c r="E29" s="11" t="inlineStr"/>
      <c r="F29" s="11">
        <f>IF(E29="",D29,E29)</f>
        <v/>
      </c>
      <c r="G29" s="4">
        <f>IF(E29="","auto","manual")</f>
        <v/>
      </c>
      <c r="H29" s="4">
        <f>IF(E29="",FALSE,TRUE)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28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08_実装順・移行順</t>
        </is>
      </c>
    </row>
    <row r="2">
      <c r="A2" s="2" t="inlineStr">
        <is>
          <t>安全に進める順番。DB→ロジック→API→画面→資料の順でそろえる。会社GitHub＋localhost(Docker) 移行にも対応。</t>
        </is>
      </c>
    </row>
    <row r="3"/>
    <row r="4">
      <c r="A4" s="3" t="inlineStr">
        <is>
          <t>順番</t>
        </is>
      </c>
      <c r="B4" s="3" t="inlineStr">
        <is>
          <t>フェーズ</t>
        </is>
      </c>
      <c r="C4" s="3" t="inlineStr">
        <is>
          <t>やること</t>
        </is>
      </c>
      <c r="D4" s="3" t="inlineStr">
        <is>
          <t>完了条件</t>
        </is>
      </c>
      <c r="E4" s="3" t="inlineStr">
        <is>
          <t>対象</t>
        </is>
      </c>
    </row>
    <row r="5">
      <c r="A5" s="4" t="n">
        <v>1</v>
      </c>
      <c r="B5" s="4" t="inlineStr">
        <is>
          <t>DB確定</t>
        </is>
      </c>
      <c r="C5" s="4" t="inlineStr">
        <is>
          <t>scripts/init_db.php を最新列へ修正し、schema.sql を完全一致させる。</t>
        </is>
      </c>
      <c r="D5" s="4" t="inlineStr">
        <is>
          <t>minutes列が消え、daily_rates を含む</t>
        </is>
      </c>
      <c r="E5" s="4" t="inlineStr">
        <is>
          <t>init_db.php / schema.sql</t>
        </is>
      </c>
    </row>
    <row r="6">
      <c r="A6" s="5" t="n">
        <v>2</v>
      </c>
      <c r="B6" s="5" t="inlineStr">
        <is>
          <t>ロジック固定</t>
        </is>
      </c>
      <c r="C6" s="5" t="inlineStr">
        <is>
          <t>coupon_logic.php に時間判定・daily rate取得・使用可否判定を集約する。</t>
        </is>
      </c>
      <c r="D6" s="5" t="inlineStr">
        <is>
          <t>dashboard と API が同ロジックを使う</t>
        </is>
      </c>
      <c r="E6" s="5" t="inlineStr">
        <is>
          <t>coupon_logic.php</t>
        </is>
      </c>
    </row>
    <row r="7">
      <c r="A7" s="4" t="n">
        <v>3</v>
      </c>
      <c r="B7" s="4" t="inlineStr">
        <is>
          <t>モデル接続</t>
        </is>
      </c>
      <c r="C7" s="4" t="inlineStr">
        <is>
          <t>coupon_model.php の入力値と coupon_plans 列を合わせる。</t>
        </is>
      </c>
      <c r="D7" s="4" t="inlineStr">
        <is>
          <t>unit_price / cost_rate / viewers を扱える</t>
        </is>
      </c>
      <c r="E7" s="4" t="inlineStr">
        <is>
          <t>coupon_model.php / coupon_edit.php</t>
        </is>
      </c>
    </row>
    <row r="8">
      <c r="A8" s="5" t="n">
        <v>4</v>
      </c>
      <c r="B8" s="5" t="inlineStr">
        <is>
          <t>API改修</t>
        </is>
      </c>
      <c r="C8" s="5" t="inlineStr">
        <is>
          <t>coupon_current / issue / get / use を最新意味に修正。</t>
        </is>
      </c>
      <c r="D8" s="5" t="inlineStr">
        <is>
          <t>issued/current/used の意味がぶれない</t>
        </is>
      </c>
      <c r="E8" s="5" t="inlineStr">
        <is>
          <t>api/*.php</t>
        </is>
      </c>
    </row>
    <row r="9">
      <c r="A9" s="4" t="n">
        <v>5</v>
      </c>
      <c r="B9" s="4" t="inlineStr">
        <is>
          <t>管理画面改修</t>
        </is>
      </c>
      <c r="C9" s="4" t="inlineStr">
        <is>
          <t>dashboard の状態表示と表示対象選択を分離。coupon_edit から minutes を削除。</t>
        </is>
      </c>
      <c r="D9" s="4" t="inlineStr">
        <is>
          <t>時間外 plan を選ばせない</t>
        </is>
      </c>
      <c r="E9" s="4" t="inlineStr">
        <is>
          <t>admin/*.php</t>
        </is>
      </c>
    </row>
    <row r="10">
      <c r="A10" s="5" t="n">
        <v>6</v>
      </c>
      <c r="B10" s="5" t="inlineStr">
        <is>
          <t>フロント整合</t>
        </is>
      </c>
      <c r="C10" s="5" t="inlineStr">
        <is>
          <t>発行・確認・使用の各表示文言を修正。</t>
        </is>
      </c>
      <c r="D10" s="5" t="inlineStr">
        <is>
          <t>確定率誤認がない</t>
        </is>
      </c>
      <c r="E10" s="5" t="inlineStr">
        <is>
          <t>front / kore or index</t>
        </is>
      </c>
    </row>
    <row r="11">
      <c r="A11" s="4" t="n">
        <v>7</v>
      </c>
      <c r="B11" s="4" t="inlineStr">
        <is>
          <t>資料更新</t>
        </is>
      </c>
      <c r="C11" s="4" t="inlineStr">
        <is>
          <t>README / docs/file-structure.md / 仕様書を一致させる。</t>
        </is>
      </c>
      <c r="D11" s="4" t="inlineStr">
        <is>
          <t>実装・資料・DB が一致</t>
        </is>
      </c>
      <c r="E11" s="4" t="inlineStr">
        <is>
          <t>docs</t>
        </is>
      </c>
    </row>
    <row r="12">
      <c r="A12" s="5" t="n">
        <v>8</v>
      </c>
      <c r="B12" s="5" t="inlineStr">
        <is>
          <t>ローカル環境化</t>
        </is>
      </c>
      <c r="C12" s="5" t="inlineStr">
        <is>
          <t>docker compose で web+db を立て、DB接続を localhost 用に切替。</t>
        </is>
      </c>
      <c r="D12" s="5" t="inlineStr">
        <is>
          <t>check_health が localhost で通る</t>
        </is>
      </c>
      <c r="E12" s="5" t="inlineStr">
        <is>
          <t>Docker / env / db.php</t>
        </is>
      </c>
    </row>
    <row r="13">
      <c r="A13" s="4" t="n">
        <v>9</v>
      </c>
      <c r="B13" s="4" t="inlineStr">
        <is>
          <t>会社GitHub移行</t>
        </is>
      </c>
      <c r="C13" s="4" t="inlineStr">
        <is>
          <t>会社repoへ push、README に起動手順を書く。</t>
        </is>
      </c>
      <c r="D13" s="4" t="inlineStr">
        <is>
          <t>他メンバーが clone して起動できる</t>
        </is>
      </c>
      <c r="E13" s="4" t="inlineStr">
        <is>
          <t>GitHub / docs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2026-04-08T03:38:01Z</dcterms:created>
  <dcterms:modified xmlns:dcterms="http://purl.org/dc/terms/" xmlns:xsi="http://www.w3.org/2001/XMLSchema-instance" xsi:type="dcterms:W3CDTF">2026-04-08T03:38:01Z</dcterms:modified>
</cp:coreProperties>
</file>